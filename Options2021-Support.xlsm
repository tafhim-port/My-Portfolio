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Pickens\Downloads\"/>
    </mc:Choice>
  </mc:AlternateContent>
  <bookViews>
    <workbookView xWindow="0" yWindow="0" windowWidth="10536" windowHeight="3768"/>
  </bookViews>
  <sheets>
    <sheet name="Pricer" sheetId="1" r:id="rId1"/>
    <sheet name="Imp Vols" sheetId="2" r:id="rId2"/>
    <sheet name="News" sheetId="6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" i="6" l="1"/>
  <c r="D2" i="6"/>
  <c r="A4" i="6"/>
  <c r="A3" i="6"/>
  <c r="B2" i="1"/>
  <c r="B11" i="1"/>
  <c r="R10" i="1"/>
  <c r="C20" i="1"/>
  <c r="Q22" i="1"/>
  <c r="D19" i="1"/>
  <c r="Q6" i="1"/>
  <c r="D10" i="1"/>
  <c r="C13" i="1"/>
  <c r="C3" i="1"/>
  <c r="D22" i="1"/>
  <c r="D13" i="1"/>
  <c r="M3" i="1"/>
  <c r="Q10" i="1"/>
  <c r="R17" i="1"/>
  <c r="R20" i="1"/>
  <c r="C11" i="1"/>
  <c r="M17" i="1"/>
  <c r="Q21" i="1"/>
  <c r="D14" i="1"/>
  <c r="R3" i="1"/>
  <c r="D16" i="1"/>
  <c r="R21" i="1"/>
  <c r="Q20" i="1"/>
  <c r="M6" i="1"/>
  <c r="M11" i="1"/>
  <c r="R7" i="1"/>
  <c r="Y17" i="1"/>
  <c r="Q12" i="1"/>
  <c r="M4" i="1"/>
  <c r="D12" i="1"/>
  <c r="Y9" i="1"/>
  <c r="Y12" i="1"/>
  <c r="C2" i="1"/>
  <c r="Q17" i="1"/>
  <c r="Y4" i="1"/>
  <c r="Y16" i="1"/>
  <c r="R15" i="1"/>
  <c r="D8" i="1"/>
  <c r="R8" i="1"/>
  <c r="R14" i="1"/>
  <c r="R22" i="1"/>
  <c r="R16" i="1"/>
  <c r="D18" i="1"/>
  <c r="C10" i="1"/>
  <c r="R5" i="1"/>
  <c r="Q8" i="1"/>
  <c r="R9" i="1"/>
  <c r="C22" i="1"/>
  <c r="M7" i="1"/>
  <c r="Q3" i="1"/>
  <c r="D2" i="1"/>
  <c r="C18" i="1"/>
  <c r="M20" i="1"/>
  <c r="C17" i="1"/>
  <c r="M10" i="1"/>
  <c r="Q15" i="1"/>
  <c r="C5" i="1"/>
  <c r="B13" i="1"/>
  <c r="D4" i="1"/>
  <c r="Q14" i="1"/>
  <c r="M2" i="1"/>
  <c r="D5" i="1"/>
  <c r="D15" i="1"/>
  <c r="M15" i="1"/>
  <c r="C7" i="1"/>
  <c r="M18" i="1"/>
  <c r="Y22" i="1"/>
  <c r="D7" i="1"/>
  <c r="Y19" i="1"/>
  <c r="Y8" i="1"/>
  <c r="Y7" i="1"/>
  <c r="Y10" i="1"/>
  <c r="C16" i="1"/>
  <c r="C6" i="1"/>
  <c r="R4" i="1"/>
  <c r="Y5" i="1"/>
  <c r="Q4" i="1"/>
  <c r="Q16" i="1"/>
  <c r="M5" i="1"/>
  <c r="Q19" i="1"/>
  <c r="C9" i="1"/>
  <c r="R11" i="1"/>
  <c r="Q7" i="1"/>
  <c r="Q18" i="1"/>
  <c r="D9" i="1"/>
  <c r="M8" i="1"/>
  <c r="Y20" i="1"/>
  <c r="Y14" i="1"/>
  <c r="M9" i="1"/>
  <c r="M19" i="1"/>
  <c r="Q11" i="1"/>
  <c r="M13" i="1"/>
  <c r="Y11" i="1"/>
  <c r="R6" i="1"/>
  <c r="Y15" i="1"/>
  <c r="Q13" i="1"/>
  <c r="M12" i="1"/>
  <c r="D21" i="1"/>
  <c r="C12" i="1"/>
  <c r="R18" i="1"/>
  <c r="Q5" i="1"/>
  <c r="C21" i="1"/>
  <c r="R12" i="1"/>
  <c r="Q9" i="1"/>
  <c r="D3" i="1"/>
  <c r="Y21" i="1"/>
  <c r="M16" i="1"/>
  <c r="Y3" i="1"/>
  <c r="D17" i="1"/>
  <c r="R13" i="1"/>
  <c r="C15" i="1"/>
  <c r="D20" i="1"/>
  <c r="D6" i="1"/>
  <c r="Y13" i="1"/>
  <c r="D11" i="1"/>
  <c r="M14" i="1"/>
  <c r="C19" i="1"/>
  <c r="R19" i="1"/>
  <c r="B10" i="1"/>
  <c r="Y18" i="1"/>
  <c r="Y6" i="1"/>
  <c r="M22" i="1"/>
  <c r="M21" i="1"/>
  <c r="C14" i="1"/>
  <c r="C4" i="1"/>
  <c r="C8" i="1"/>
  <c r="B3" i="6" l="1"/>
  <c r="H3" i="6"/>
  <c r="F3" i="6"/>
  <c r="D3" i="6"/>
  <c r="E3" i="6" s="1"/>
  <c r="G3" i="6"/>
  <c r="C3" i="6"/>
  <c r="H4" i="6"/>
  <c r="F4" i="6"/>
  <c r="D4" i="6"/>
  <c r="E4" i="6" s="1"/>
  <c r="B4" i="6"/>
  <c r="G4" i="6"/>
  <c r="C4" i="6"/>
  <c r="S16" i="1"/>
  <c r="S21" i="1"/>
  <c r="S17" i="1"/>
  <c r="E21" i="1"/>
  <c r="E15" i="1"/>
  <c r="S15" i="1"/>
  <c r="S19" i="1"/>
  <c r="E2" i="1"/>
  <c r="B6" i="1" s="1"/>
  <c r="E7" i="1"/>
  <c r="E13" i="1"/>
  <c r="S4" i="1"/>
  <c r="S5" i="1"/>
  <c r="E8" i="1"/>
  <c r="E4" i="1"/>
  <c r="E9" i="1"/>
  <c r="E11" i="1"/>
  <c r="E14" i="1"/>
  <c r="E22" i="1"/>
  <c r="S12" i="1"/>
  <c r="E17" i="1"/>
  <c r="S6" i="1"/>
  <c r="E12" i="1"/>
  <c r="S8" i="1"/>
  <c r="E6" i="1"/>
  <c r="S18" i="1"/>
  <c r="E18" i="1"/>
  <c r="J2" i="1"/>
  <c r="S22" i="1"/>
  <c r="E16" i="1"/>
  <c r="S10" i="1"/>
  <c r="S7" i="1"/>
  <c r="S14" i="1"/>
  <c r="E20" i="1"/>
  <c r="S13" i="1"/>
  <c r="S11" i="1"/>
  <c r="S3" i="1"/>
  <c r="E5" i="1"/>
  <c r="E19" i="1"/>
  <c r="S20" i="1"/>
  <c r="E3" i="1"/>
  <c r="E10" i="1"/>
  <c r="S9" i="1"/>
  <c r="B4" i="1"/>
  <c r="B3" i="1"/>
  <c r="H3" i="1"/>
  <c r="V17" i="1"/>
  <c r="V7" i="1"/>
  <c r="V21" i="1"/>
  <c r="H12" i="1"/>
  <c r="V16" i="1"/>
  <c r="V10" i="1"/>
  <c r="H17" i="1"/>
  <c r="V19" i="1"/>
  <c r="V15" i="1"/>
  <c r="H21" i="1"/>
  <c r="V8" i="1"/>
  <c r="V6" i="1"/>
  <c r="H15" i="1"/>
  <c r="H13" i="1"/>
  <c r="V20" i="1"/>
  <c r="H19" i="1"/>
  <c r="H11" i="1"/>
  <c r="V14" i="1"/>
  <c r="H22" i="1"/>
  <c r="H8" i="1"/>
  <c r="V5" i="1"/>
  <c r="V13" i="1"/>
  <c r="V18" i="1"/>
  <c r="H18" i="1"/>
  <c r="H6" i="1"/>
  <c r="H4" i="1"/>
  <c r="V12" i="1"/>
  <c r="H10" i="1"/>
  <c r="V9" i="1"/>
  <c r="V4" i="1"/>
  <c r="H20" i="1"/>
  <c r="H7" i="1"/>
  <c r="V3" i="1"/>
  <c r="H9" i="1"/>
  <c r="H14" i="1"/>
  <c r="V22" i="1"/>
  <c r="H16" i="1"/>
  <c r="H5" i="1"/>
  <c r="V11" i="1"/>
  <c r="I4" i="6" l="1"/>
  <c r="J3" i="6"/>
  <c r="I3" i="6"/>
  <c r="J4" i="6"/>
  <c r="K3" i="6"/>
  <c r="K4" i="6"/>
  <c r="A29" i="2"/>
  <c r="A24" i="2"/>
  <c r="A23" i="2"/>
  <c r="A35" i="2"/>
  <c r="A40" i="2"/>
  <c r="A32" i="2"/>
  <c r="A31" i="2"/>
  <c r="A26" i="2"/>
  <c r="A39" i="2"/>
  <c r="A30" i="2"/>
  <c r="A37" i="2"/>
  <c r="A38" i="2"/>
  <c r="A21" i="2"/>
  <c r="A33" i="2"/>
  <c r="A28" i="2"/>
  <c r="A22" i="2"/>
  <c r="A25" i="2"/>
  <c r="A34" i="2"/>
  <c r="A36" i="2"/>
  <c r="A27" i="2"/>
  <c r="A4" i="2"/>
  <c r="A8" i="2"/>
  <c r="A12" i="2"/>
  <c r="A3" i="2"/>
  <c r="A2" i="2"/>
  <c r="A15" i="2"/>
  <c r="A17" i="2"/>
  <c r="A1" i="2"/>
  <c r="A9" i="2"/>
  <c r="A11" i="2"/>
  <c r="A5" i="2"/>
  <c r="A6" i="2"/>
  <c r="A14" i="2"/>
  <c r="A20" i="2"/>
  <c r="A19" i="2"/>
  <c r="A13" i="2"/>
  <c r="A16" i="2"/>
  <c r="A10" i="2"/>
  <c r="A18" i="2"/>
  <c r="A7" i="2"/>
  <c r="I5" i="6" l="1"/>
  <c r="AB2" i="1" s="1"/>
  <c r="J5" i="6"/>
  <c r="AB3" i="1" s="1"/>
  <c r="K5" i="6"/>
  <c r="B7" i="1"/>
  <c r="Z14" i="1"/>
  <c r="K4" i="1"/>
  <c r="Z10" i="1"/>
  <c r="K11" i="1"/>
  <c r="K15" i="1"/>
  <c r="K9" i="1"/>
  <c r="K18" i="1"/>
  <c r="K14" i="1"/>
  <c r="K5" i="1"/>
  <c r="Z9" i="1"/>
  <c r="K21" i="1"/>
  <c r="Z20" i="1"/>
  <c r="Z5" i="1"/>
  <c r="Z18" i="1"/>
  <c r="Z12" i="1"/>
  <c r="Z19" i="1"/>
  <c r="K10" i="1"/>
  <c r="K13" i="1"/>
  <c r="Z8" i="1"/>
  <c r="K20" i="1"/>
  <c r="Z22" i="1"/>
  <c r="K22" i="1"/>
  <c r="K7" i="1"/>
  <c r="Z21" i="1"/>
  <c r="K6" i="1"/>
  <c r="K3" i="1"/>
  <c r="Z7" i="1"/>
  <c r="K8" i="1"/>
  <c r="K17" i="1"/>
  <c r="Z3" i="1"/>
  <c r="Z17" i="1"/>
  <c r="Z11" i="1"/>
  <c r="Z6" i="1"/>
  <c r="K16" i="1"/>
  <c r="K19" i="1"/>
  <c r="Z16" i="1"/>
  <c r="K12" i="1"/>
  <c r="Z13" i="1"/>
  <c r="Z4" i="1"/>
  <c r="Z15" i="1"/>
  <c r="AB4" i="1" l="1"/>
  <c r="B8" i="1"/>
  <c r="B5" i="1" s="1"/>
  <c r="AA11" i="1"/>
  <c r="AA22" i="1"/>
  <c r="L21" i="1"/>
  <c r="AA20" i="1"/>
  <c r="L17" i="1"/>
  <c r="AA5" i="1"/>
  <c r="L5" i="1"/>
  <c r="L20" i="1"/>
  <c r="L13" i="1"/>
  <c r="L14" i="1"/>
  <c r="W13" i="1"/>
  <c r="I13" i="1"/>
  <c r="L10" i="1"/>
  <c r="I7" i="1"/>
  <c r="AA17" i="1"/>
  <c r="AA9" i="1"/>
  <c r="W22" i="1"/>
  <c r="W9" i="1"/>
  <c r="I21" i="1"/>
  <c r="AA8" i="1"/>
  <c r="AA10" i="1"/>
  <c r="W7" i="1"/>
  <c r="W19" i="1"/>
  <c r="I10" i="1"/>
  <c r="I18" i="1"/>
  <c r="AA16" i="1"/>
  <c r="I5" i="1"/>
  <c r="I22" i="1"/>
  <c r="I8" i="1"/>
  <c r="AA19" i="1"/>
  <c r="W11" i="1"/>
  <c r="I11" i="1"/>
  <c r="L16" i="1"/>
  <c r="L15" i="1"/>
  <c r="W17" i="1"/>
  <c r="I9" i="1"/>
  <c r="AA12" i="1"/>
  <c r="L9" i="1"/>
  <c r="L22" i="1"/>
  <c r="W21" i="1"/>
  <c r="W14" i="1"/>
  <c r="L3" i="1"/>
  <c r="I4" i="1"/>
  <c r="AA18" i="1"/>
  <c r="W4" i="1"/>
  <c r="W15" i="1"/>
  <c r="AA3" i="1"/>
  <c r="L19" i="1"/>
  <c r="W10" i="1"/>
  <c r="W12" i="1"/>
  <c r="I20" i="1"/>
  <c r="L12" i="1"/>
  <c r="W5" i="1"/>
  <c r="W16" i="1"/>
  <c r="W18" i="1"/>
  <c r="I15" i="1"/>
  <c r="L8" i="1"/>
  <c r="AA7" i="1"/>
  <c r="L11" i="1"/>
  <c r="I14" i="1"/>
  <c r="AA13" i="1"/>
  <c r="AA4" i="1"/>
  <c r="AA21" i="1"/>
  <c r="L6" i="1"/>
  <c r="W8" i="1"/>
  <c r="I3" i="1"/>
  <c r="I19" i="1"/>
  <c r="L4" i="1"/>
  <c r="L7" i="1"/>
  <c r="AA14" i="1"/>
  <c r="I17" i="1"/>
  <c r="L18" i="1"/>
  <c r="AA6" i="1"/>
  <c r="W20" i="1"/>
  <c r="W6" i="1"/>
  <c r="I6" i="1"/>
  <c r="I16" i="1"/>
  <c r="AA15" i="1"/>
  <c r="W3" i="1"/>
  <c r="I12" i="1"/>
  <c r="J12" i="1" l="1"/>
  <c r="X3" i="1"/>
  <c r="J16" i="1"/>
  <c r="J6" i="1"/>
  <c r="X6" i="1"/>
  <c r="X20" i="1"/>
  <c r="J17" i="1"/>
  <c r="J19" i="1"/>
  <c r="J3" i="1"/>
  <c r="X8" i="1"/>
  <c r="J14" i="1"/>
  <c r="J15" i="1"/>
  <c r="X18" i="1"/>
  <c r="X16" i="1"/>
  <c r="X5" i="1"/>
  <c r="J20" i="1"/>
  <c r="X12" i="1"/>
  <c r="X10" i="1"/>
  <c r="X15" i="1"/>
  <c r="X4" i="1"/>
  <c r="J4" i="1"/>
  <c r="X14" i="1"/>
  <c r="X21" i="1"/>
  <c r="J9" i="1"/>
  <c r="X17" i="1"/>
  <c r="J11" i="1"/>
  <c r="X11" i="1"/>
  <c r="J8" i="1"/>
  <c r="J22" i="1"/>
  <c r="J5" i="1"/>
  <c r="J18" i="1"/>
  <c r="J10" i="1"/>
  <c r="X19" i="1"/>
  <c r="X7" i="1"/>
  <c r="J21" i="1"/>
  <c r="X9" i="1"/>
  <c r="X22" i="1"/>
  <c r="J7" i="1"/>
  <c r="J13" i="1"/>
  <c r="X13" i="1"/>
  <c r="B23" i="1" l="1"/>
  <c r="B12" i="1" s="1"/>
</calcChain>
</file>

<file path=xl/sharedStrings.xml><?xml version="1.0" encoding="utf-8"?>
<sst xmlns="http://schemas.openxmlformats.org/spreadsheetml/2006/main" count="136" uniqueCount="86">
  <si>
    <t>RTM</t>
  </si>
  <si>
    <t>Ticker</t>
    <phoneticPr fontId="1"/>
  </si>
  <si>
    <t>Pos</t>
    <phoneticPr fontId="1"/>
  </si>
  <si>
    <t>Bid</t>
    <phoneticPr fontId="1"/>
  </si>
  <si>
    <t>Ask</t>
    <phoneticPr fontId="1"/>
  </si>
  <si>
    <t>Mid</t>
    <phoneticPr fontId="1"/>
  </si>
  <si>
    <t>Risk free rate</t>
    <phoneticPr fontId="1"/>
  </si>
  <si>
    <t>Delta Limit</t>
    <phoneticPr fontId="1"/>
  </si>
  <si>
    <t>Imp Vol</t>
    <phoneticPr fontId="1"/>
  </si>
  <si>
    <t>Delta</t>
    <phoneticPr fontId="1"/>
  </si>
  <si>
    <t>Strike</t>
    <phoneticPr fontId="1"/>
  </si>
  <si>
    <t>Spot</t>
    <phoneticPr fontId="1"/>
  </si>
  <si>
    <t>Type</t>
    <phoneticPr fontId="1"/>
  </si>
  <si>
    <t>C</t>
    <phoneticPr fontId="1"/>
  </si>
  <si>
    <t>P</t>
    <phoneticPr fontId="1"/>
  </si>
  <si>
    <t>MM Vol</t>
    <phoneticPr fontId="1"/>
  </si>
  <si>
    <t>True Vol</t>
    <phoneticPr fontId="1"/>
  </si>
  <si>
    <t>Manual Vol</t>
    <phoneticPr fontId="1"/>
  </si>
  <si>
    <t>Total Delta</t>
    <phoneticPr fontId="1"/>
  </si>
  <si>
    <t>Pos Delta</t>
    <phoneticPr fontId="1"/>
  </si>
  <si>
    <t>Period</t>
  </si>
  <si>
    <t>Time to maturity 1M</t>
  </si>
  <si>
    <t>Time to maturity 2M</t>
  </si>
  <si>
    <t>maturity</t>
  </si>
  <si>
    <t>Order Size</t>
  </si>
  <si>
    <t>Hedge Size</t>
  </si>
  <si>
    <t>dump_size</t>
  </si>
  <si>
    <t>strike(empty for ATM)</t>
  </si>
  <si>
    <t>Relative</t>
  </si>
  <si>
    <t>Absolute</t>
  </si>
  <si>
    <t>PnL</t>
  </si>
  <si>
    <r>
      <t>RTM1C</t>
    </r>
    <r>
      <rPr>
        <sz val="11"/>
        <color rgb="FFC00000"/>
        <rFont val="Calibri"/>
        <family val="2"/>
        <scheme val="minor"/>
      </rPr>
      <t>45</t>
    </r>
  </si>
  <si>
    <r>
      <t>RTM1C</t>
    </r>
    <r>
      <rPr>
        <sz val="11"/>
        <color rgb="FFC00000"/>
        <rFont val="Calibri"/>
        <family val="2"/>
        <scheme val="minor"/>
      </rPr>
      <t>46</t>
    </r>
  </si>
  <si>
    <r>
      <t>RTM1C</t>
    </r>
    <r>
      <rPr>
        <sz val="11"/>
        <color rgb="FFC00000"/>
        <rFont val="Calibri"/>
        <family val="2"/>
        <scheme val="minor"/>
      </rPr>
      <t>47</t>
    </r>
  </si>
  <si>
    <r>
      <t>RTM1C</t>
    </r>
    <r>
      <rPr>
        <sz val="11"/>
        <color rgb="FFC00000"/>
        <rFont val="Calibri"/>
        <family val="2"/>
        <scheme val="minor"/>
      </rPr>
      <t>48</t>
    </r>
  </si>
  <si>
    <r>
      <t>RTM1C</t>
    </r>
    <r>
      <rPr>
        <sz val="11"/>
        <color rgb="FFC00000"/>
        <rFont val="Calibri"/>
        <family val="2"/>
        <scheme val="minor"/>
      </rPr>
      <t>49</t>
    </r>
  </si>
  <si>
    <r>
      <t>RTM1C</t>
    </r>
    <r>
      <rPr>
        <sz val="11"/>
        <color rgb="FFC00000"/>
        <rFont val="Calibri"/>
        <family val="2"/>
        <scheme val="minor"/>
      </rPr>
      <t>50</t>
    </r>
  </si>
  <si>
    <r>
      <t>RTM1C</t>
    </r>
    <r>
      <rPr>
        <sz val="11"/>
        <color rgb="FFC00000"/>
        <rFont val="Calibri"/>
        <family val="2"/>
        <scheme val="minor"/>
      </rPr>
      <t>51</t>
    </r>
  </si>
  <si>
    <r>
      <t>RTM1C</t>
    </r>
    <r>
      <rPr>
        <sz val="11"/>
        <color rgb="FFC00000"/>
        <rFont val="Calibri"/>
        <family val="2"/>
        <scheme val="minor"/>
      </rPr>
      <t>52</t>
    </r>
  </si>
  <si>
    <r>
      <t>RTM1C</t>
    </r>
    <r>
      <rPr>
        <sz val="11"/>
        <color rgb="FFC00000"/>
        <rFont val="Calibri"/>
        <family val="2"/>
        <scheme val="minor"/>
      </rPr>
      <t>53</t>
    </r>
  </si>
  <si>
    <r>
      <t>RTM1C</t>
    </r>
    <r>
      <rPr>
        <sz val="11"/>
        <color rgb="FFC00000"/>
        <rFont val="Calibri"/>
        <family val="2"/>
        <scheme val="minor"/>
      </rPr>
      <t>54</t>
    </r>
  </si>
  <si>
    <r>
      <t>RTM2C</t>
    </r>
    <r>
      <rPr>
        <sz val="11"/>
        <color rgb="FFC00000"/>
        <rFont val="Calibri"/>
        <family val="2"/>
        <scheme val="minor"/>
      </rPr>
      <t>45</t>
    </r>
  </si>
  <si>
    <r>
      <t>RTM2C</t>
    </r>
    <r>
      <rPr>
        <sz val="11"/>
        <color rgb="FFC00000"/>
        <rFont val="Calibri"/>
        <family val="2"/>
        <scheme val="minor"/>
      </rPr>
      <t>46</t>
    </r>
  </si>
  <si>
    <r>
      <t>RTM2C</t>
    </r>
    <r>
      <rPr>
        <sz val="11"/>
        <color rgb="FFC00000"/>
        <rFont val="Calibri"/>
        <family val="2"/>
        <scheme val="minor"/>
      </rPr>
      <t>47</t>
    </r>
  </si>
  <si>
    <r>
      <t>RTM2C</t>
    </r>
    <r>
      <rPr>
        <sz val="11"/>
        <color rgb="FFC00000"/>
        <rFont val="Calibri"/>
        <family val="2"/>
        <scheme val="minor"/>
      </rPr>
      <t>48</t>
    </r>
  </si>
  <si>
    <r>
      <t>RTM2C</t>
    </r>
    <r>
      <rPr>
        <sz val="11"/>
        <color rgb="FFC00000"/>
        <rFont val="Calibri"/>
        <family val="2"/>
        <scheme val="minor"/>
      </rPr>
      <t>49</t>
    </r>
  </si>
  <si>
    <r>
      <t>RTM2C</t>
    </r>
    <r>
      <rPr>
        <sz val="11"/>
        <color rgb="FFC00000"/>
        <rFont val="Calibri"/>
        <family val="2"/>
        <scheme val="minor"/>
      </rPr>
      <t>50</t>
    </r>
  </si>
  <si>
    <r>
      <t>RTM2C</t>
    </r>
    <r>
      <rPr>
        <sz val="11"/>
        <color rgb="FFC00000"/>
        <rFont val="Calibri"/>
        <family val="2"/>
        <scheme val="minor"/>
      </rPr>
      <t>51</t>
    </r>
  </si>
  <si>
    <r>
      <t>RTM2C</t>
    </r>
    <r>
      <rPr>
        <sz val="11"/>
        <color rgb="FFC00000"/>
        <rFont val="Calibri"/>
        <family val="2"/>
        <scheme val="minor"/>
      </rPr>
      <t>52</t>
    </r>
  </si>
  <si>
    <r>
      <t>RTM2C</t>
    </r>
    <r>
      <rPr>
        <sz val="11"/>
        <color rgb="FFC00000"/>
        <rFont val="Calibri"/>
        <family val="2"/>
        <scheme val="minor"/>
      </rPr>
      <t>53</t>
    </r>
  </si>
  <si>
    <r>
      <t>RTM2C</t>
    </r>
    <r>
      <rPr>
        <sz val="11"/>
        <color rgb="FFC00000"/>
        <rFont val="Calibri"/>
        <family val="2"/>
        <scheme val="minor"/>
      </rPr>
      <t>54</t>
    </r>
  </si>
  <si>
    <r>
      <t>RTM1P</t>
    </r>
    <r>
      <rPr>
        <sz val="11"/>
        <color rgb="FFC00000"/>
        <rFont val="Calibri"/>
        <family val="2"/>
        <scheme val="minor"/>
      </rPr>
      <t>46</t>
    </r>
  </si>
  <si>
    <r>
      <t>RTM1P</t>
    </r>
    <r>
      <rPr>
        <sz val="11"/>
        <color rgb="FFC00000"/>
        <rFont val="Calibri"/>
        <family val="2"/>
        <scheme val="minor"/>
      </rPr>
      <t>47</t>
    </r>
  </si>
  <si>
    <r>
      <t>RTM1P</t>
    </r>
    <r>
      <rPr>
        <sz val="11"/>
        <color rgb="FFC00000"/>
        <rFont val="Calibri"/>
        <family val="2"/>
        <scheme val="minor"/>
      </rPr>
      <t>48</t>
    </r>
  </si>
  <si>
    <r>
      <t>RTM1P</t>
    </r>
    <r>
      <rPr>
        <sz val="11"/>
        <color rgb="FFC00000"/>
        <rFont val="Calibri"/>
        <family val="2"/>
        <scheme val="minor"/>
      </rPr>
      <t>49</t>
    </r>
  </si>
  <si>
    <r>
      <t>RTM1P</t>
    </r>
    <r>
      <rPr>
        <sz val="11"/>
        <color rgb="FFC00000"/>
        <rFont val="Calibri"/>
        <family val="2"/>
        <scheme val="minor"/>
      </rPr>
      <t>50</t>
    </r>
  </si>
  <si>
    <r>
      <t>RTM1P</t>
    </r>
    <r>
      <rPr>
        <sz val="11"/>
        <color rgb="FFC00000"/>
        <rFont val="Calibri"/>
        <family val="2"/>
        <scheme val="minor"/>
      </rPr>
      <t>51</t>
    </r>
  </si>
  <si>
    <r>
      <t>RTM2P</t>
    </r>
    <r>
      <rPr>
        <sz val="11"/>
        <color rgb="FFC00000"/>
        <rFont val="Calibri"/>
        <family val="2"/>
        <scheme val="minor"/>
      </rPr>
      <t>46</t>
    </r>
  </si>
  <si>
    <r>
      <t>RTM2P</t>
    </r>
    <r>
      <rPr>
        <sz val="11"/>
        <color rgb="FFC00000"/>
        <rFont val="Calibri"/>
        <family val="2"/>
        <scheme val="minor"/>
      </rPr>
      <t>47</t>
    </r>
  </si>
  <si>
    <r>
      <t>RTM2P</t>
    </r>
    <r>
      <rPr>
        <sz val="11"/>
        <color rgb="FFC00000"/>
        <rFont val="Calibri"/>
        <family val="2"/>
        <scheme val="minor"/>
      </rPr>
      <t>48</t>
    </r>
  </si>
  <si>
    <r>
      <t>RTM2P</t>
    </r>
    <r>
      <rPr>
        <sz val="11"/>
        <color rgb="FFC00000"/>
        <rFont val="Calibri"/>
        <family val="2"/>
        <scheme val="minor"/>
      </rPr>
      <t>49</t>
    </r>
  </si>
  <si>
    <r>
      <t>RTM2P</t>
    </r>
    <r>
      <rPr>
        <sz val="11"/>
        <color rgb="FFC00000"/>
        <rFont val="Calibri"/>
        <family val="2"/>
        <scheme val="minor"/>
      </rPr>
      <t>50</t>
    </r>
  </si>
  <si>
    <r>
      <t>RTM2P</t>
    </r>
    <r>
      <rPr>
        <sz val="11"/>
        <color rgb="FFC00000"/>
        <rFont val="Calibri"/>
        <family val="2"/>
        <scheme val="minor"/>
      </rPr>
      <t>51</t>
    </r>
  </si>
  <si>
    <r>
      <t>RTM2P</t>
    </r>
    <r>
      <rPr>
        <sz val="11"/>
        <color rgb="FFC00000"/>
        <rFont val="Calibri"/>
        <family val="2"/>
        <scheme val="minor"/>
      </rPr>
      <t>52</t>
    </r>
  </si>
  <si>
    <r>
      <t>RTM2P</t>
    </r>
    <r>
      <rPr>
        <sz val="11"/>
        <color rgb="FFC00000"/>
        <rFont val="Calibri"/>
        <family val="2"/>
        <scheme val="minor"/>
      </rPr>
      <t>53</t>
    </r>
  </si>
  <si>
    <r>
      <t>RTM2P</t>
    </r>
    <r>
      <rPr>
        <sz val="11"/>
        <color rgb="FFC00000"/>
        <rFont val="Calibri"/>
        <family val="2"/>
        <scheme val="minor"/>
      </rPr>
      <t>54</t>
    </r>
  </si>
  <si>
    <r>
      <t>RTM2P</t>
    </r>
    <r>
      <rPr>
        <sz val="11"/>
        <color rgb="FFC00000"/>
        <rFont val="Calibri"/>
        <family val="2"/>
        <scheme val="minor"/>
      </rPr>
      <t>45</t>
    </r>
  </si>
  <si>
    <r>
      <t>RTM1P</t>
    </r>
    <r>
      <rPr>
        <sz val="11"/>
        <color rgb="FFC00000"/>
        <rFont val="Calibri"/>
        <family val="2"/>
        <scheme val="minor"/>
      </rPr>
      <t>52</t>
    </r>
  </si>
  <si>
    <r>
      <t>RTM1P</t>
    </r>
    <r>
      <rPr>
        <sz val="11"/>
        <color rgb="FFC00000"/>
        <rFont val="Calibri"/>
        <family val="2"/>
        <scheme val="minor"/>
      </rPr>
      <t>53</t>
    </r>
  </si>
  <si>
    <r>
      <t>RTM1P</t>
    </r>
    <r>
      <rPr>
        <sz val="11"/>
        <color rgb="FFC00000"/>
        <rFont val="Calibri"/>
        <family val="2"/>
        <scheme val="minor"/>
      </rPr>
      <t>54</t>
    </r>
  </si>
  <si>
    <r>
      <t>RTM1P</t>
    </r>
    <r>
      <rPr>
        <sz val="11"/>
        <color rgb="FFC00000"/>
        <rFont val="Calibri"/>
        <family val="2"/>
        <scheme val="minor"/>
      </rPr>
      <t>45</t>
    </r>
  </si>
  <si>
    <t>Ticks to next ANN</t>
  </si>
  <si>
    <t>Latest</t>
  </si>
  <si>
    <t>between</t>
  </si>
  <si>
    <t>is</t>
  </si>
  <si>
    <t>~</t>
  </si>
  <si>
    <t>expected</t>
  </si>
  <si>
    <t>latest</t>
  </si>
  <si>
    <t>Low</t>
  </si>
  <si>
    <t>High</t>
  </si>
  <si>
    <t>Actual</t>
  </si>
  <si>
    <t>low</t>
  </si>
  <si>
    <t>high</t>
  </si>
  <si>
    <t>actual</t>
  </si>
  <si>
    <t>Actual Vol</t>
  </si>
  <si>
    <t>Option 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</si>
</sst>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charset val="128"/>
      <scheme val="minor"/>
    </font>
    <font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>
      <alignment vertical="center"/>
    </xf>
    <xf numFmtId="164" fontId="0" fillId="0" borderId="1" xfId="0" applyNumberFormat="1" applyBorder="1">
      <alignment vertical="center"/>
    </xf>
    <xf numFmtId="164" fontId="0" fillId="0" borderId="3" xfId="0" applyNumberFormat="1" applyBorder="1">
      <alignment vertical="center"/>
    </xf>
    <xf numFmtId="164" fontId="0" fillId="0" borderId="4" xfId="0" applyNumberFormat="1" applyBorder="1">
      <alignment vertical="center"/>
    </xf>
    <xf numFmtId="164" fontId="0" fillId="0" borderId="5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6" xfId="0" applyBorder="1">
      <alignment vertical="center"/>
    </xf>
    <xf numFmtId="0" fontId="0" fillId="0" borderId="16" xfId="0" applyBorder="1">
      <alignment vertical="center"/>
    </xf>
    <xf numFmtId="0" fontId="3" fillId="2" borderId="0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3" fillId="2" borderId="15" xfId="0" applyFont="1" applyFill="1" applyBorder="1">
      <alignment vertical="center"/>
    </xf>
    <xf numFmtId="0" fontId="3" fillId="2" borderId="14" xfId="0" applyFont="1" applyFill="1" applyBorder="1">
      <alignment vertical="center"/>
    </xf>
    <xf numFmtId="164" fontId="0" fillId="0" borderId="9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right" vertical="center"/>
    </xf>
    <xf numFmtId="164" fontId="0" fillId="0" borderId="19" xfId="0" applyNumberFormat="1" applyBorder="1">
      <alignment vertical="center"/>
    </xf>
    <xf numFmtId="0" fontId="3" fillId="2" borderId="20" xfId="0" applyFont="1" applyFill="1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 applyAlignment="1">
      <alignment horizontal="right" vertical="center"/>
    </xf>
    <xf numFmtId="0" fontId="0" fillId="0" borderId="19" xfId="0" applyBorder="1">
      <alignment vertical="center"/>
    </xf>
    <xf numFmtId="0" fontId="0" fillId="0" borderId="25" xfId="0" applyBorder="1">
      <alignment vertical="center"/>
    </xf>
    <xf numFmtId="0" fontId="3" fillId="2" borderId="26" xfId="0" applyFont="1" applyFill="1" applyBorder="1">
      <alignment vertical="center"/>
    </xf>
    <xf numFmtId="0" fontId="0" fillId="0" borderId="4" xfId="0" applyFill="1" applyBorder="1">
      <alignment vertical="center"/>
    </xf>
    <xf numFmtId="0" fontId="0" fillId="0" borderId="5" xfId="0" applyBorder="1">
      <alignment vertical="center"/>
    </xf>
    <xf numFmtId="9" fontId="0" fillId="0" borderId="0" xfId="0" applyNumberFormat="1">
      <alignment vertical="center"/>
    </xf>
    <xf numFmtId="0" fontId="0" fillId="3" borderId="3" xfId="0" applyFill="1" applyBorder="1">
      <alignment vertic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0</v>
        <stp/>
        <stp>RTM</stp>
        <stp>POSITION</stp>
        <tr r="M2" s="1"/>
      </tp>
      <tp>
        <v>49.87</v>
        <stp/>
        <stp>RTM</stp>
        <stp>BID</stp>
        <tr r="C2" s="1"/>
      </tp>
      <tp>
        <v>300</v>
        <stp/>
        <stp>PERIODTIME</stp>
        <tr r="B4" s="1"/>
      </tp>
      <tp>
        <v>49.89</v>
        <stp/>
        <stp>RTM</stp>
        <stp>ASK</stp>
        <tr r="D2" s="1"/>
      </tp>
      <tp>
        <v>192</v>
        <stp/>
        <stp>TIMEREMAINING</stp>
        <tr r="B4" s="1"/>
        <tr r="B13" s="1"/>
      </tp>
      <tp t="s">
        <v>2,75,Week 6,Announcement 5,The latest annualized volatility of RTM is 16%</v>
        <stp/>
        <stp>LATESTNEWS</stp>
        <stp>1</stp>
        <tr r="A3" s="6"/>
      </tp>
      <tp t="s">
        <v>2,37,,News 5,The annualized volatility of RTM is expected to be between 14% ~ 16% at the start of Week 6</v>
        <stp/>
        <stp>LATESTNEWS</stp>
        <stp>2</stp>
        <tr r="A4" s="6"/>
      </tp>
      <tp>
        <v>-8150</v>
        <stp/>
        <stp>PL</stp>
        <tr r="B11" s="1"/>
      </tp>
      <tp>
        <v>0</v>
        <stp/>
        <stp>RTM2P49</stp>
        <stp>POSITION</stp>
        <tr r="Y17" s="1"/>
      </tp>
      <tp>
        <v>0</v>
        <stp/>
        <stp>RTM2C49</stp>
        <stp>POSITION</stp>
        <tr r="Y7" s="1"/>
      </tp>
      <tp>
        <v>0</v>
        <stp/>
        <stp>RTM1P49</stp>
        <stp>POSITION</stp>
        <tr r="M17" s="1"/>
      </tp>
      <tp>
        <v>0</v>
        <stp/>
        <stp>RTM1C49</stp>
        <stp>POSITION</stp>
        <tr r="M7" s="1"/>
      </tp>
      <tp>
        <v>0</v>
        <stp/>
        <stp>RTM2P48</stp>
        <stp>POSITION</stp>
        <tr r="Y16" s="1"/>
      </tp>
      <tp>
        <v>0</v>
        <stp/>
        <stp>RTM2C48</stp>
        <stp>POSITION</stp>
        <tr r="Y6" s="1"/>
      </tp>
      <tp>
        <v>0</v>
        <stp/>
        <stp>RTM1P48</stp>
        <stp>POSITION</stp>
        <tr r="M16" s="1"/>
      </tp>
      <tp>
        <v>0</v>
        <stp/>
        <stp>RTM1C48</stp>
        <stp>POSITION</stp>
        <tr r="M6" s="1"/>
      </tp>
      <tp>
        <v>0</v>
        <stp/>
        <stp>RTM2P45</stp>
        <stp>POSITION</stp>
        <tr r="Y13" s="1"/>
      </tp>
      <tp>
        <v>0</v>
        <stp/>
        <stp>RTM2C45</stp>
        <stp>POSITION</stp>
        <tr r="Y3" s="1"/>
      </tp>
      <tp>
        <v>0</v>
        <stp/>
        <stp>RTM1P45</stp>
        <stp>POSITION</stp>
        <tr r="M13" s="1"/>
      </tp>
      <tp>
        <v>0</v>
        <stp/>
        <stp>RTM1C45</stp>
        <stp>POSITION</stp>
        <tr r="M3" s="1"/>
      </tp>
      <tp>
        <v>0</v>
        <stp/>
        <stp>RTM2P47</stp>
        <stp>POSITION</stp>
        <tr r="Y15" s="1"/>
      </tp>
      <tp>
        <v>0</v>
        <stp/>
        <stp>RTM2C47</stp>
        <stp>POSITION</stp>
        <tr r="Y5" s="1"/>
      </tp>
      <tp>
        <v>0</v>
        <stp/>
        <stp>RTM1P47</stp>
        <stp>POSITION</stp>
        <tr r="M15" s="1"/>
      </tp>
      <tp>
        <v>0</v>
        <stp/>
        <stp>RTM1C47</stp>
        <stp>POSITION</stp>
        <tr r="M5" s="1"/>
      </tp>
      <tp>
        <v>0</v>
        <stp/>
        <stp>RTM2P46</stp>
        <stp>POSITION</stp>
        <tr r="Y14" s="1"/>
      </tp>
      <tp>
        <v>0</v>
        <stp/>
        <stp>RTM2C46</stp>
        <stp>POSITION</stp>
        <tr r="Y4" s="1"/>
      </tp>
      <tp>
        <v>0</v>
        <stp/>
        <stp>RTM1P46</stp>
        <stp>POSITION</stp>
        <tr r="M14" s="1"/>
      </tp>
      <tp>
        <v>0</v>
        <stp/>
        <stp>RTM1C46</stp>
        <stp>POSITION</stp>
        <tr r="M4" s="1"/>
      </tp>
      <tp>
        <v>0</v>
        <stp/>
        <stp>RTM2P54</stp>
        <stp>POSITION</stp>
        <tr r="Y22" s="1"/>
      </tp>
      <tp>
        <v>0</v>
        <stp/>
        <stp>RTM2C54</stp>
        <stp>POSITION</stp>
        <tr r="Y12" s="1"/>
      </tp>
      <tp>
        <v>0</v>
        <stp/>
        <stp>RTM1P54</stp>
        <stp>POSITION</stp>
        <tr r="M22" s="1"/>
      </tp>
      <tp>
        <v>0</v>
        <stp/>
        <stp>RTM1C54</stp>
        <stp>POSITION</stp>
        <tr r="M12" s="1"/>
      </tp>
      <tp>
        <v>0</v>
        <stp/>
        <stp>RTM2P51</stp>
        <stp>POSITION</stp>
        <tr r="Y19" s="1"/>
      </tp>
      <tp>
        <v>0</v>
        <stp/>
        <stp>RTM2C51</stp>
        <stp>POSITION</stp>
        <tr r="Y9" s="1"/>
      </tp>
      <tp>
        <v>0</v>
        <stp/>
        <stp>RTM1P51</stp>
        <stp>POSITION</stp>
        <tr r="M19" s="1"/>
      </tp>
      <tp>
        <v>0</v>
        <stp/>
        <stp>RTM1C51</stp>
        <stp>POSITION</stp>
        <tr r="M9" s="1"/>
      </tp>
      <tp>
        <v>0</v>
        <stp/>
        <stp>RTM2P50</stp>
        <stp>POSITION</stp>
        <tr r="Y18" s="1"/>
      </tp>
      <tp>
        <v>0</v>
        <stp/>
        <stp>RTM2C50</stp>
        <stp>POSITION</stp>
        <tr r="Y8" s="1"/>
      </tp>
      <tp>
        <v>0</v>
        <stp/>
        <stp>RTM1P50</stp>
        <stp>POSITION</stp>
        <tr r="M18" s="1"/>
      </tp>
      <tp>
        <v>0</v>
        <stp/>
        <stp>RTM1C50</stp>
        <stp>POSITION</stp>
        <tr r="M8" s="1"/>
      </tp>
      <tp>
        <v>0</v>
        <stp/>
        <stp>RTM2P53</stp>
        <stp>POSITION</stp>
        <tr r="Y21" s="1"/>
      </tp>
      <tp>
        <v>0</v>
        <stp/>
        <stp>RTM2C53</stp>
        <stp>POSITION</stp>
        <tr r="Y11" s="1"/>
      </tp>
      <tp>
        <v>0</v>
        <stp/>
        <stp>RTM1P53</stp>
        <stp>POSITION</stp>
        <tr r="M21" s="1"/>
      </tp>
      <tp>
        <v>0</v>
        <stp/>
        <stp>RTM1C53</stp>
        <stp>POSITION</stp>
        <tr r="M11" s="1"/>
      </tp>
      <tp>
        <v>0</v>
        <stp/>
        <stp>RTM2P52</stp>
        <stp>POSITION</stp>
        <tr r="Y20" s="1"/>
      </tp>
      <tp>
        <v>0</v>
        <stp/>
        <stp>RTM2C52</stp>
        <stp>POSITION</stp>
        <tr r="Y10" s="1"/>
      </tp>
      <tp>
        <v>0</v>
        <stp/>
        <stp>RTM1P52</stp>
        <stp>POSITION</stp>
        <tr r="M20" s="1"/>
      </tp>
      <tp>
        <v>0</v>
        <stp/>
        <stp>RTM1C52</stp>
        <stp>POSITION</stp>
        <tr r="M10" s="1"/>
      </tp>
      <tp>
        <v>4.12</v>
        <stp/>
        <stp>RTM2P54</stp>
        <stp>BID</stp>
        <tr r="Q22" s="1"/>
      </tp>
      <tp>
        <v>0</v>
        <stp/>
        <stp>RTM1P54</stp>
        <stp>BID</stp>
        <tr r="C22" s="1"/>
      </tp>
      <tp>
        <v>1.34</v>
        <stp/>
        <stp>RTM2P51</stp>
        <stp>BID</stp>
        <tr r="Q19" s="1"/>
      </tp>
      <tp>
        <v>0</v>
        <stp/>
        <stp>RTM1P51</stp>
        <stp>BID</stp>
        <tr r="C19" s="1"/>
      </tp>
      <tp>
        <v>0.68</v>
        <stp/>
        <stp>RTM2P50</stp>
        <stp>BID</stp>
        <tr r="Q18" s="1"/>
      </tp>
      <tp>
        <v>0</v>
        <stp/>
        <stp>RTM1P50</stp>
        <stp>BID</stp>
        <tr r="C18" s="1"/>
      </tp>
      <tp>
        <v>3.13</v>
        <stp/>
        <stp>RTM2P53</stp>
        <stp>BID</stp>
        <tr r="Q21" s="1"/>
      </tp>
      <tp>
        <v>0</v>
        <stp/>
        <stp>RTM1P53</stp>
        <stp>BID</stp>
        <tr r="C21" s="1"/>
      </tp>
      <tp>
        <v>2.1800000000000002</v>
        <stp/>
        <stp>RTM2P52</stp>
        <stp>BID</stp>
        <tr r="Q20" s="1"/>
      </tp>
      <tp>
        <v>0</v>
        <stp/>
        <stp>RTM1P52</stp>
        <stp>BID</stp>
        <tr r="C20" s="1"/>
      </tp>
      <tp>
        <v>0.01</v>
        <stp/>
        <stp>RTM2P45</stp>
        <stp>BID</stp>
        <tr r="Q13" s="1"/>
      </tp>
      <tp>
        <v>0</v>
        <stp/>
        <stp>RTM1P45</stp>
        <stp>BID</stp>
        <tr r="C13" s="1"/>
      </tp>
      <tp>
        <v>0.01</v>
        <stp/>
        <stp>RTM2P47</stp>
        <stp>BID</stp>
        <tr r="Q15" s="1"/>
      </tp>
      <tp>
        <v>0</v>
        <stp/>
        <stp>RTM1P47</stp>
        <stp>BID</stp>
        <tr r="C15" s="1"/>
      </tp>
      <tp>
        <v>0.01</v>
        <stp/>
        <stp>RTM2P46</stp>
        <stp>BID</stp>
        <tr r="Q14" s="1"/>
      </tp>
      <tp>
        <v>0</v>
        <stp/>
        <stp>RTM1P46</stp>
        <stp>BID</stp>
        <tr r="C14" s="1"/>
      </tp>
      <tp>
        <v>0.27</v>
        <stp/>
        <stp>RTM2P49</stp>
        <stp>BID</stp>
        <tr r="Q17" s="1"/>
      </tp>
      <tp>
        <v>0</v>
        <stp/>
        <stp>RTM1P49</stp>
        <stp>BID</stp>
        <tr r="C17" s="1"/>
      </tp>
      <tp>
        <v>0.08</v>
        <stp/>
        <stp>RTM2P48</stp>
        <stp>BID</stp>
        <tr r="Q16" s="1"/>
      </tp>
      <tp>
        <v>0</v>
        <stp/>
        <stp>RTM1P48</stp>
        <stp>BID</stp>
        <tr r="C16" s="1"/>
      </tp>
      <tp>
        <v>2.2000000000000002</v>
        <stp/>
        <stp>RTM2P52</stp>
        <stp>ASK</stp>
        <tr r="R20" s="1"/>
      </tp>
      <tp>
        <v>0</v>
        <stp/>
        <stp>RTM1P52</stp>
        <stp>ASK</stp>
        <tr r="D20" s="1"/>
      </tp>
      <tp>
        <v>3.15</v>
        <stp/>
        <stp>RTM2P53</stp>
        <stp>ASK</stp>
        <tr r="R21" s="1"/>
      </tp>
      <tp>
        <v>0</v>
        <stp/>
        <stp>RTM1P53</stp>
        <stp>ASK</stp>
        <tr r="D21" s="1"/>
      </tp>
      <tp>
        <v>0.7</v>
        <stp/>
        <stp>RTM2P50</stp>
        <stp>ASK</stp>
        <tr r="R18" s="1"/>
      </tp>
      <tp>
        <v>0</v>
        <stp/>
        <stp>RTM1P50</stp>
        <stp>ASK</stp>
        <tr r="D18" s="1"/>
      </tp>
      <tp>
        <v>1.36</v>
        <stp/>
        <stp>RTM2P51</stp>
        <stp>ASK</stp>
        <tr r="R19" s="1"/>
      </tp>
      <tp>
        <v>0</v>
        <stp/>
        <stp>RTM1P51</stp>
        <stp>ASK</stp>
        <tr r="D19" s="1"/>
      </tp>
      <tp>
        <v>4.1399999999999997</v>
        <stp/>
        <stp>RTM2P54</stp>
        <stp>ASK</stp>
        <tr r="R22" s="1"/>
      </tp>
      <tp>
        <v>0</v>
        <stp/>
        <stp>RTM1P54</stp>
        <stp>ASK</stp>
        <tr r="D22" s="1"/>
      </tp>
      <tp>
        <v>0.1</v>
        <stp/>
        <stp>RTM2P48</stp>
        <stp>ASK</stp>
        <tr r="R16" s="1"/>
      </tp>
      <tp>
        <v>0</v>
        <stp/>
        <stp>RTM1P48</stp>
        <stp>ASK</stp>
        <tr r="D16" s="1"/>
      </tp>
      <tp>
        <v>0.28999999999999998</v>
        <stp/>
        <stp>RTM2P49</stp>
        <stp>ASK</stp>
        <tr r="R17" s="1"/>
      </tp>
      <tp>
        <v>0</v>
        <stp/>
        <stp>RTM1P49</stp>
        <stp>ASK</stp>
        <tr r="D17" s="1"/>
      </tp>
      <tp>
        <v>0.03</v>
        <stp/>
        <stp>RTM2P46</stp>
        <stp>ASK</stp>
        <tr r="R14" s="1"/>
      </tp>
      <tp>
        <v>0</v>
        <stp/>
        <stp>RTM1P46</stp>
        <stp>ASK</stp>
        <tr r="D14" s="1"/>
      </tp>
      <tp>
        <v>0.03</v>
        <stp/>
        <stp>RTM2P47</stp>
        <stp>ASK</stp>
        <tr r="R15" s="1"/>
      </tp>
      <tp>
        <v>0</v>
        <stp/>
        <stp>RTM1P47</stp>
        <stp>ASK</stp>
        <tr r="D15" s="1"/>
      </tp>
      <tp>
        <v>0.03</v>
        <stp/>
        <stp>RTM2P45</stp>
        <stp>ASK</stp>
        <tr r="R13" s="1"/>
      </tp>
      <tp>
        <v>0</v>
        <stp/>
        <stp>RTM1P45</stp>
        <stp>ASK</stp>
        <tr r="D13" s="1"/>
      </tp>
      <tp t="s">
        <v>1,0,,Delta Limit,The delta limit for this sub-heat is 10000</v>
        <stp/>
        <stp>NEWS</stp>
        <stp>1</stp>
        <tr r="B2" s="1"/>
        <tr r="B2" s="1"/>
      </tp>
      <tp>
        <v>0.08</v>
        <stp/>
        <stp>RTM2C52</stp>
        <stp>ASK</stp>
        <tr r="R10" s="1"/>
      </tp>
      <tp>
        <v>0</v>
        <stp/>
        <stp>RTM1C52</stp>
        <stp>ASK</stp>
        <tr r="D10" s="1"/>
      </tp>
      <tp>
        <v>0.03</v>
        <stp/>
        <stp>RTM2C53</stp>
        <stp>ASK</stp>
        <tr r="R11" s="1"/>
      </tp>
      <tp>
        <v>0</v>
        <stp/>
        <stp>RTM1C53</stp>
        <stp>ASK</stp>
        <tr r="D11" s="1"/>
      </tp>
      <tp>
        <v>0.57999999999999996</v>
        <stp/>
        <stp>RTM2C50</stp>
        <stp>ASK</stp>
        <tr r="R8" s="1"/>
      </tp>
      <tp>
        <v>0</v>
        <stp/>
        <stp>RTM1C50</stp>
        <stp>ASK</stp>
        <tr r="D8" s="1"/>
      </tp>
      <tp>
        <v>0.24</v>
        <stp/>
        <stp>RTM2C51</stp>
        <stp>ASK</stp>
        <tr r="R9" s="1"/>
      </tp>
      <tp>
        <v>0</v>
        <stp/>
        <stp>RTM1C51</stp>
        <stp>ASK</stp>
        <tr r="D9" s="1"/>
      </tp>
      <tp>
        <v>0.03</v>
        <stp/>
        <stp>RTM2C54</stp>
        <stp>ASK</stp>
        <tr r="R12" s="1"/>
      </tp>
      <tp>
        <v>0</v>
        <stp/>
        <stp>RTM1C54</stp>
        <stp>ASK</stp>
        <tr r="D12" s="1"/>
      </tp>
      <tp>
        <v>1.98</v>
        <stp/>
        <stp>RTM2C48</stp>
        <stp>ASK</stp>
        <tr r="R6" s="1"/>
      </tp>
      <tp>
        <v>0</v>
        <stp/>
        <stp>RTM1C48</stp>
        <stp>ASK</stp>
        <tr r="D6" s="1"/>
      </tp>
      <tp>
        <v>1.17</v>
        <stp/>
        <stp>RTM2C49</stp>
        <stp>ASK</stp>
        <tr r="R7" s="1"/>
      </tp>
      <tp>
        <v>0</v>
        <stp/>
        <stp>RTM1C49</stp>
        <stp>ASK</stp>
        <tr r="D7" s="1"/>
      </tp>
      <tp>
        <v>3.89</v>
        <stp/>
        <stp>RTM2C46</stp>
        <stp>ASK</stp>
        <tr r="R4" s="1"/>
      </tp>
      <tp>
        <v>0</v>
        <stp/>
        <stp>RTM1C46</stp>
        <stp>ASK</stp>
        <tr r="D4" s="1"/>
      </tp>
      <tp>
        <v>2.91</v>
        <stp/>
        <stp>RTM2C47</stp>
        <stp>ASK</stp>
        <tr r="R5" s="1"/>
      </tp>
      <tp>
        <v>0</v>
        <stp/>
        <stp>RTM1C47</stp>
        <stp>ASK</stp>
        <tr r="D5" s="1"/>
      </tp>
      <tp>
        <v>4.8899999999999997</v>
        <stp/>
        <stp>RTM2C45</stp>
        <stp>ASK</stp>
        <tr r="R3" s="1"/>
      </tp>
      <tp>
        <v>0</v>
        <stp/>
        <stp>RTM1C45</stp>
        <stp>ASK</stp>
        <tr r="D3" s="1"/>
      </tp>
      <tp>
        <v>0.01</v>
        <stp/>
        <stp>RTM2C54</stp>
        <stp>BID</stp>
        <tr r="Q12" s="1"/>
      </tp>
      <tp>
        <v>0</v>
        <stp/>
        <stp>RTM1C54</stp>
        <stp>BID</stp>
        <tr r="C12" s="1"/>
      </tp>
      <tp>
        <v>0.22</v>
        <stp/>
        <stp>RTM2C51</stp>
        <stp>BID</stp>
        <tr r="Q9" s="1"/>
      </tp>
      <tp>
        <v>0</v>
        <stp/>
        <stp>RTM1C51</stp>
        <stp>BID</stp>
        <tr r="C9" s="1"/>
      </tp>
      <tp>
        <v>0.56000000000000005</v>
        <stp/>
        <stp>RTM2C50</stp>
        <stp>BID</stp>
        <tr r="Q8" s="1"/>
      </tp>
      <tp>
        <v>0</v>
        <stp/>
        <stp>RTM1C50</stp>
        <stp>BID</stp>
        <tr r="C8" s="1"/>
      </tp>
      <tp>
        <v>0.01</v>
        <stp/>
        <stp>RTM2C53</stp>
        <stp>BID</stp>
        <tr r="Q11" s="1"/>
      </tp>
      <tp>
        <v>0</v>
        <stp/>
        <stp>RTM1C53</stp>
        <stp>BID</stp>
        <tr r="C11" s="1"/>
      </tp>
      <tp>
        <v>0.06</v>
        <stp/>
        <stp>RTM2C52</stp>
        <stp>BID</stp>
        <tr r="Q10" s="1"/>
      </tp>
      <tp>
        <v>0</v>
        <stp/>
        <stp>RTM1C52</stp>
        <stp>BID</stp>
        <tr r="C10" s="1"/>
      </tp>
      <tp>
        <v>4.87</v>
        <stp/>
        <stp>RTM2C45</stp>
        <stp>BID</stp>
        <tr r="Q3" s="1"/>
      </tp>
      <tp>
        <v>0</v>
        <stp/>
        <stp>RTM1C45</stp>
        <stp>BID</stp>
        <tr r="C3" s="1"/>
      </tp>
      <tp>
        <v>2.89</v>
        <stp/>
        <stp>RTM2C47</stp>
        <stp>BID</stp>
        <tr r="Q5" s="1"/>
      </tp>
      <tp>
        <v>0</v>
        <stp/>
        <stp>RTM1C47</stp>
        <stp>BID</stp>
        <tr r="C5" s="1"/>
      </tp>
      <tp>
        <v>3.87</v>
        <stp/>
        <stp>RTM2C46</stp>
        <stp>BID</stp>
        <tr r="Q4" s="1"/>
      </tp>
      <tp>
        <v>0</v>
        <stp/>
        <stp>RTM1C46</stp>
        <stp>BID</stp>
        <tr r="C4" s="1"/>
      </tp>
      <tp>
        <v>1.1499999999999999</v>
        <stp/>
        <stp>RTM2C49</stp>
        <stp>BID</stp>
        <tr r="Q7" s="1"/>
      </tp>
      <tp>
        <v>0</v>
        <stp/>
        <stp>RTM1C49</stp>
        <stp>BID</stp>
        <tr r="C7" s="1"/>
      </tp>
      <tp>
        <v>1.96</v>
        <stp/>
        <stp>RTM2C48</stp>
        <stp>BID</stp>
        <tr r="Q6" s="1"/>
      </tp>
      <tp>
        <v>0</v>
        <stp/>
        <stp>RTM1C48</stp>
        <stp>BID</stp>
        <tr r="C6" s="1"/>
      </tp>
      <tp>
        <v>2</v>
        <stp/>
        <stp>PERIOD</stp>
        <tr r="B1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7620</xdr:rowOff>
        </xdr:from>
        <xdr:to>
          <xdr:col>1</xdr:col>
          <xdr:colOff>7620</xdr:colOff>
          <xdr:row>13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Long Straddle @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182880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13</xdr:row>
          <xdr:rowOff>22860</xdr:rowOff>
        </xdr:from>
        <xdr:to>
          <xdr:col>1</xdr:col>
          <xdr:colOff>1226820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Short Straddle @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18</xdr:row>
          <xdr:rowOff>7620</xdr:rowOff>
        </xdr:from>
        <xdr:to>
          <xdr:col>1</xdr:col>
          <xdr:colOff>1226820</xdr:colOff>
          <xdr:row>19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2</xdr:row>
          <xdr:rowOff>0</xdr:rowOff>
        </xdr:from>
        <xdr:to>
          <xdr:col>13</xdr:col>
          <xdr:colOff>861060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</xdr:row>
          <xdr:rowOff>190500</xdr:rowOff>
        </xdr:from>
        <xdr:to>
          <xdr:col>13</xdr:col>
          <xdr:colOff>1104900</xdr:colOff>
          <xdr:row>2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</xdr:row>
          <xdr:rowOff>0</xdr:rowOff>
        </xdr:from>
        <xdr:to>
          <xdr:col>15</xdr:col>
          <xdr:colOff>259080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2</xdr:row>
          <xdr:rowOff>0</xdr:rowOff>
        </xdr:from>
        <xdr:to>
          <xdr:col>15</xdr:col>
          <xdr:colOff>502920</xdr:colOff>
          <xdr:row>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12</xdr:row>
          <xdr:rowOff>0</xdr:rowOff>
        </xdr:from>
        <xdr:to>
          <xdr:col>13</xdr:col>
          <xdr:colOff>861060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3</xdr:row>
          <xdr:rowOff>0</xdr:rowOff>
        </xdr:from>
        <xdr:to>
          <xdr:col>13</xdr:col>
          <xdr:colOff>861060</xdr:colOff>
          <xdr:row>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13</xdr:row>
          <xdr:rowOff>0</xdr:rowOff>
        </xdr:from>
        <xdr:to>
          <xdr:col>13</xdr:col>
          <xdr:colOff>861060</xdr:colOff>
          <xdr:row>14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4</xdr:row>
          <xdr:rowOff>0</xdr:rowOff>
        </xdr:from>
        <xdr:to>
          <xdr:col>13</xdr:col>
          <xdr:colOff>861060</xdr:colOff>
          <xdr:row>5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14</xdr:row>
          <xdr:rowOff>0</xdr:rowOff>
        </xdr:from>
        <xdr:to>
          <xdr:col>13</xdr:col>
          <xdr:colOff>861060</xdr:colOff>
          <xdr:row>15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5</xdr:row>
          <xdr:rowOff>0</xdr:rowOff>
        </xdr:from>
        <xdr:to>
          <xdr:col>13</xdr:col>
          <xdr:colOff>861060</xdr:colOff>
          <xdr:row>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15</xdr:row>
          <xdr:rowOff>0</xdr:rowOff>
        </xdr:from>
        <xdr:to>
          <xdr:col>13</xdr:col>
          <xdr:colOff>861060</xdr:colOff>
          <xdr:row>16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6</xdr:row>
          <xdr:rowOff>0</xdr:rowOff>
        </xdr:from>
        <xdr:to>
          <xdr:col>13</xdr:col>
          <xdr:colOff>861060</xdr:colOff>
          <xdr:row>7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16</xdr:row>
          <xdr:rowOff>0</xdr:rowOff>
        </xdr:from>
        <xdr:to>
          <xdr:col>13</xdr:col>
          <xdr:colOff>861060</xdr:colOff>
          <xdr:row>17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7</xdr:row>
          <xdr:rowOff>0</xdr:rowOff>
        </xdr:from>
        <xdr:to>
          <xdr:col>13</xdr:col>
          <xdr:colOff>861060</xdr:colOff>
          <xdr:row>8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17</xdr:row>
          <xdr:rowOff>0</xdr:rowOff>
        </xdr:from>
        <xdr:to>
          <xdr:col>13</xdr:col>
          <xdr:colOff>861060</xdr:colOff>
          <xdr:row>18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8</xdr:row>
          <xdr:rowOff>0</xdr:rowOff>
        </xdr:from>
        <xdr:to>
          <xdr:col>13</xdr:col>
          <xdr:colOff>861060</xdr:colOff>
          <xdr:row>9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18</xdr:row>
          <xdr:rowOff>0</xdr:rowOff>
        </xdr:from>
        <xdr:to>
          <xdr:col>13</xdr:col>
          <xdr:colOff>861060</xdr:colOff>
          <xdr:row>19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9</xdr:row>
          <xdr:rowOff>0</xdr:rowOff>
        </xdr:from>
        <xdr:to>
          <xdr:col>13</xdr:col>
          <xdr:colOff>861060</xdr:colOff>
          <xdr:row>10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19</xdr:row>
          <xdr:rowOff>0</xdr:rowOff>
        </xdr:from>
        <xdr:to>
          <xdr:col>13</xdr:col>
          <xdr:colOff>861060</xdr:colOff>
          <xdr:row>20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10</xdr:row>
          <xdr:rowOff>0</xdr:rowOff>
        </xdr:from>
        <xdr:to>
          <xdr:col>13</xdr:col>
          <xdr:colOff>861060</xdr:colOff>
          <xdr:row>11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20</xdr:row>
          <xdr:rowOff>0</xdr:rowOff>
        </xdr:from>
        <xdr:to>
          <xdr:col>13</xdr:col>
          <xdr:colOff>861060</xdr:colOff>
          <xdr:row>21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11</xdr:row>
          <xdr:rowOff>0</xdr:rowOff>
        </xdr:from>
        <xdr:to>
          <xdr:col>13</xdr:col>
          <xdr:colOff>861060</xdr:colOff>
          <xdr:row>12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21</xdr:row>
          <xdr:rowOff>0</xdr:rowOff>
        </xdr:from>
        <xdr:to>
          <xdr:col>13</xdr:col>
          <xdr:colOff>861060</xdr:colOff>
          <xdr:row>21</xdr:row>
          <xdr:rowOff>190500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12</xdr:row>
          <xdr:rowOff>0</xdr:rowOff>
        </xdr:from>
        <xdr:to>
          <xdr:col>15</xdr:col>
          <xdr:colOff>259080</xdr:colOff>
          <xdr:row>13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3</xdr:row>
          <xdr:rowOff>0</xdr:rowOff>
        </xdr:from>
        <xdr:to>
          <xdr:col>15</xdr:col>
          <xdr:colOff>259080</xdr:colOff>
          <xdr:row>4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13</xdr:row>
          <xdr:rowOff>0</xdr:rowOff>
        </xdr:from>
        <xdr:to>
          <xdr:col>15</xdr:col>
          <xdr:colOff>259080</xdr:colOff>
          <xdr:row>14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4</xdr:row>
          <xdr:rowOff>0</xdr:rowOff>
        </xdr:from>
        <xdr:to>
          <xdr:col>15</xdr:col>
          <xdr:colOff>259080</xdr:colOff>
          <xdr:row>5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14</xdr:row>
          <xdr:rowOff>0</xdr:rowOff>
        </xdr:from>
        <xdr:to>
          <xdr:col>15</xdr:col>
          <xdr:colOff>259080</xdr:colOff>
          <xdr:row>15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5</xdr:row>
          <xdr:rowOff>0</xdr:rowOff>
        </xdr:from>
        <xdr:to>
          <xdr:col>15</xdr:col>
          <xdr:colOff>259080</xdr:colOff>
          <xdr:row>6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15</xdr:row>
          <xdr:rowOff>0</xdr:rowOff>
        </xdr:from>
        <xdr:to>
          <xdr:col>15</xdr:col>
          <xdr:colOff>259080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6</xdr:row>
          <xdr:rowOff>0</xdr:rowOff>
        </xdr:from>
        <xdr:to>
          <xdr:col>15</xdr:col>
          <xdr:colOff>259080</xdr:colOff>
          <xdr:row>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16</xdr:row>
          <xdr:rowOff>0</xdr:rowOff>
        </xdr:from>
        <xdr:to>
          <xdr:col>15</xdr:col>
          <xdr:colOff>259080</xdr:colOff>
          <xdr:row>17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7</xdr:row>
          <xdr:rowOff>0</xdr:rowOff>
        </xdr:from>
        <xdr:to>
          <xdr:col>15</xdr:col>
          <xdr:colOff>259080</xdr:colOff>
          <xdr:row>8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17</xdr:row>
          <xdr:rowOff>0</xdr:rowOff>
        </xdr:from>
        <xdr:to>
          <xdr:col>15</xdr:col>
          <xdr:colOff>259080</xdr:colOff>
          <xdr:row>18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8</xdr:row>
          <xdr:rowOff>0</xdr:rowOff>
        </xdr:from>
        <xdr:to>
          <xdr:col>15</xdr:col>
          <xdr:colOff>259080</xdr:colOff>
          <xdr:row>9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18</xdr:row>
          <xdr:rowOff>0</xdr:rowOff>
        </xdr:from>
        <xdr:to>
          <xdr:col>15</xdr:col>
          <xdr:colOff>259080</xdr:colOff>
          <xdr:row>19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9</xdr:row>
          <xdr:rowOff>0</xdr:rowOff>
        </xdr:from>
        <xdr:to>
          <xdr:col>15</xdr:col>
          <xdr:colOff>259080</xdr:colOff>
          <xdr:row>10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19</xdr:row>
          <xdr:rowOff>0</xdr:rowOff>
        </xdr:from>
        <xdr:to>
          <xdr:col>15</xdr:col>
          <xdr:colOff>259080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10</xdr:row>
          <xdr:rowOff>0</xdr:rowOff>
        </xdr:from>
        <xdr:to>
          <xdr:col>15</xdr:col>
          <xdr:colOff>259080</xdr:colOff>
          <xdr:row>11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20</xdr:row>
          <xdr:rowOff>0</xdr:rowOff>
        </xdr:from>
        <xdr:to>
          <xdr:col>15</xdr:col>
          <xdr:colOff>259080</xdr:colOff>
          <xdr:row>21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11</xdr:row>
          <xdr:rowOff>0</xdr:rowOff>
        </xdr:from>
        <xdr:to>
          <xdr:col>15</xdr:col>
          <xdr:colOff>259080</xdr:colOff>
          <xdr:row>12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21</xdr:row>
          <xdr:rowOff>0</xdr:rowOff>
        </xdr:from>
        <xdr:to>
          <xdr:col>15</xdr:col>
          <xdr:colOff>259080</xdr:colOff>
          <xdr:row>22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21</xdr:row>
          <xdr:rowOff>0</xdr:rowOff>
        </xdr:from>
        <xdr:to>
          <xdr:col>14</xdr:col>
          <xdr:colOff>0</xdr:colOff>
          <xdr:row>21</xdr:row>
          <xdr:rowOff>190500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12</xdr:row>
          <xdr:rowOff>0</xdr:rowOff>
        </xdr:from>
        <xdr:to>
          <xdr:col>15</xdr:col>
          <xdr:colOff>502920</xdr:colOff>
          <xdr:row>13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3</xdr:row>
          <xdr:rowOff>0</xdr:rowOff>
        </xdr:from>
        <xdr:to>
          <xdr:col>15</xdr:col>
          <xdr:colOff>502920</xdr:colOff>
          <xdr:row>4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13</xdr:row>
          <xdr:rowOff>0</xdr:rowOff>
        </xdr:from>
        <xdr:to>
          <xdr:col>15</xdr:col>
          <xdr:colOff>502920</xdr:colOff>
          <xdr:row>14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4</xdr:row>
          <xdr:rowOff>0</xdr:rowOff>
        </xdr:from>
        <xdr:to>
          <xdr:col>15</xdr:col>
          <xdr:colOff>502920</xdr:colOff>
          <xdr:row>5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14</xdr:row>
          <xdr:rowOff>0</xdr:rowOff>
        </xdr:from>
        <xdr:to>
          <xdr:col>15</xdr:col>
          <xdr:colOff>502920</xdr:colOff>
          <xdr:row>15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5</xdr:row>
          <xdr:rowOff>0</xdr:rowOff>
        </xdr:from>
        <xdr:to>
          <xdr:col>15</xdr:col>
          <xdr:colOff>502920</xdr:colOff>
          <xdr:row>6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15</xdr:row>
          <xdr:rowOff>0</xdr:rowOff>
        </xdr:from>
        <xdr:to>
          <xdr:col>15</xdr:col>
          <xdr:colOff>502920</xdr:colOff>
          <xdr:row>16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6</xdr:row>
          <xdr:rowOff>0</xdr:rowOff>
        </xdr:from>
        <xdr:to>
          <xdr:col>15</xdr:col>
          <xdr:colOff>502920</xdr:colOff>
          <xdr:row>7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16</xdr:row>
          <xdr:rowOff>0</xdr:rowOff>
        </xdr:from>
        <xdr:to>
          <xdr:col>15</xdr:col>
          <xdr:colOff>502920</xdr:colOff>
          <xdr:row>17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7</xdr:row>
          <xdr:rowOff>0</xdr:rowOff>
        </xdr:from>
        <xdr:to>
          <xdr:col>15</xdr:col>
          <xdr:colOff>502920</xdr:colOff>
          <xdr:row>8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17</xdr:row>
          <xdr:rowOff>0</xdr:rowOff>
        </xdr:from>
        <xdr:to>
          <xdr:col>15</xdr:col>
          <xdr:colOff>502920</xdr:colOff>
          <xdr:row>18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8</xdr:row>
          <xdr:rowOff>0</xdr:rowOff>
        </xdr:from>
        <xdr:to>
          <xdr:col>15</xdr:col>
          <xdr:colOff>502920</xdr:colOff>
          <xdr:row>9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18</xdr:row>
          <xdr:rowOff>0</xdr:rowOff>
        </xdr:from>
        <xdr:to>
          <xdr:col>15</xdr:col>
          <xdr:colOff>502920</xdr:colOff>
          <xdr:row>19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9</xdr:row>
          <xdr:rowOff>0</xdr:rowOff>
        </xdr:from>
        <xdr:to>
          <xdr:col>15</xdr:col>
          <xdr:colOff>502920</xdr:colOff>
          <xdr:row>10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19</xdr:row>
          <xdr:rowOff>0</xdr:rowOff>
        </xdr:from>
        <xdr:to>
          <xdr:col>15</xdr:col>
          <xdr:colOff>502920</xdr:colOff>
          <xdr:row>20</xdr:row>
          <xdr:rowOff>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10</xdr:row>
          <xdr:rowOff>0</xdr:rowOff>
        </xdr:from>
        <xdr:to>
          <xdr:col>15</xdr:col>
          <xdr:colOff>502920</xdr:colOff>
          <xdr:row>11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20</xdr:row>
          <xdr:rowOff>0</xdr:rowOff>
        </xdr:from>
        <xdr:to>
          <xdr:col>15</xdr:col>
          <xdr:colOff>502920</xdr:colOff>
          <xdr:row>21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11</xdr:row>
          <xdr:rowOff>0</xdr:rowOff>
        </xdr:from>
        <xdr:to>
          <xdr:col>15</xdr:col>
          <xdr:colOff>502920</xdr:colOff>
          <xdr:row>12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21</xdr:row>
          <xdr:rowOff>0</xdr:rowOff>
        </xdr:from>
        <xdr:to>
          <xdr:col>15</xdr:col>
          <xdr:colOff>502920</xdr:colOff>
          <xdr:row>22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</xdr:row>
          <xdr:rowOff>0</xdr:rowOff>
        </xdr:from>
        <xdr:to>
          <xdr:col>13</xdr:col>
          <xdr:colOff>861060</xdr:colOff>
          <xdr:row>2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17</xdr:row>
          <xdr:rowOff>0</xdr:rowOff>
        </xdr:from>
        <xdr:to>
          <xdr:col>1</xdr:col>
          <xdr:colOff>0</xdr:colOff>
          <xdr:row>18</xdr:row>
          <xdr:rowOff>7620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Dump for 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182880</xdr:rowOff>
        </xdr:from>
        <xdr:to>
          <xdr:col>1</xdr:col>
          <xdr:colOff>1226820</xdr:colOff>
          <xdr:row>18</xdr:row>
          <xdr:rowOff>7620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Dump for Sell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7620</xdr:rowOff>
        </xdr:from>
        <xdr:to>
          <xdr:col>1</xdr:col>
          <xdr:colOff>1229360</xdr:colOff>
          <xdr:row>20</xdr:row>
          <xdr:rowOff>2540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Hedge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3"/>
  <sheetViews>
    <sheetView tabSelected="1" zoomScaleNormal="100" workbookViewId="0">
      <selection activeCell="B11" sqref="B11"/>
    </sheetView>
  </sheetViews>
  <sheetFormatPr defaultRowHeight="14.4"/>
  <cols>
    <col min="1" max="1" width="19" customWidth="1"/>
    <col min="2" max="2" width="18.88671875" customWidth="1"/>
    <col min="3" max="3" width="6.5546875" hidden="1" customWidth="1"/>
    <col min="4" max="4" width="5.44140625" hidden="1" customWidth="1"/>
    <col min="5" max="5" width="6.5546875" hidden="1" customWidth="1"/>
    <col min="6" max="6" width="6.109375" hidden="1" customWidth="1"/>
    <col min="7" max="7" width="5.33203125" hidden="1" customWidth="1"/>
    <col min="8" max="8" width="13.109375" hidden="1" customWidth="1"/>
    <col min="9" max="9" width="13.6640625" hidden="1" customWidth="1"/>
    <col min="10" max="10" width="9.33203125" hidden="1" customWidth="1"/>
    <col min="11" max="12" width="9" customWidth="1"/>
    <col min="13" max="13" width="8.33203125" customWidth="1"/>
    <col min="14" max="14" width="16" customWidth="1"/>
    <col min="15" max="15" width="1" style="20" customWidth="1"/>
    <col min="16" max="16" width="16.88671875" style="16" customWidth="1"/>
    <col min="17" max="19" width="5.44140625" hidden="1" customWidth="1"/>
    <col min="20" max="20" width="6.109375" hidden="1" customWidth="1"/>
    <col min="21" max="21" width="5.33203125" hidden="1" customWidth="1"/>
    <col min="22" max="22" width="13.109375" hidden="1" customWidth="1"/>
    <col min="23" max="23" width="13.6640625" hidden="1" customWidth="1"/>
    <col min="24" max="24" width="9.33203125" hidden="1" customWidth="1"/>
    <col min="25" max="25" width="6.109375" bestFit="1" customWidth="1"/>
    <col min="26" max="27" width="8.88671875" customWidth="1"/>
    <col min="28" max="28" width="6.21875" customWidth="1"/>
  </cols>
  <sheetData>
    <row r="1" spans="1:32" ht="15" thickBot="1">
      <c r="A1" s="1" t="s">
        <v>6</v>
      </c>
      <c r="B1" s="3">
        <v>0</v>
      </c>
      <c r="C1" s="2" t="s">
        <v>3</v>
      </c>
      <c r="D1" s="2" t="s">
        <v>4</v>
      </c>
      <c r="E1" s="2" t="s">
        <v>5</v>
      </c>
      <c r="F1" s="2" t="s">
        <v>10</v>
      </c>
      <c r="G1" s="2" t="s">
        <v>12</v>
      </c>
      <c r="H1" s="2" t="s">
        <v>8</v>
      </c>
      <c r="I1" s="2" t="s">
        <v>9</v>
      </c>
      <c r="J1" s="2" t="s">
        <v>19</v>
      </c>
      <c r="K1" s="35" t="s">
        <v>28</v>
      </c>
      <c r="L1" s="35" t="s">
        <v>29</v>
      </c>
      <c r="M1" s="35" t="s">
        <v>2</v>
      </c>
      <c r="N1" s="36" t="s">
        <v>1</v>
      </c>
      <c r="O1" s="40"/>
      <c r="P1" s="37" t="s">
        <v>1</v>
      </c>
      <c r="Q1" s="34" t="s">
        <v>3</v>
      </c>
      <c r="R1" s="34" t="s">
        <v>4</v>
      </c>
      <c r="S1" s="34" t="s">
        <v>5</v>
      </c>
      <c r="T1" s="34" t="s">
        <v>10</v>
      </c>
      <c r="U1" s="34" t="s">
        <v>12</v>
      </c>
      <c r="V1" s="34" t="s">
        <v>8</v>
      </c>
      <c r="W1" s="34" t="s">
        <v>9</v>
      </c>
      <c r="X1" s="34" t="s">
        <v>19</v>
      </c>
      <c r="Y1" s="35" t="s">
        <v>2</v>
      </c>
      <c r="Z1" s="35" t="s">
        <v>28</v>
      </c>
      <c r="AA1" s="39" t="s">
        <v>29</v>
      </c>
    </row>
    <row r="2" spans="1:32">
      <c r="A2" s="1" t="s">
        <v>7</v>
      </c>
      <c r="B2" s="8">
        <f>INT(IF(ISNUMBER(SEARCH("delta",RTD("rit2.rtd",,"NEWS",1))),RIGHT(RTD("rit2.rtd",,"NEWS",1),5),RIGHT(RTD("rit2.rtd",,"NEWS",2),6)))</f>
        <v>10000</v>
      </c>
      <c r="C2" s="1">
        <f>RTD("rit2.rtd",,"RTM","BID")</f>
        <v>49.87</v>
      </c>
      <c r="D2" s="1">
        <f>RTD("rit2.rtd",,"RTM","ASK")</f>
        <v>49.89</v>
      </c>
      <c r="E2" s="1">
        <f t="shared" ref="E2:E3" si="0">AVERAGE(C2:D2)</f>
        <v>49.879999999999995</v>
      </c>
      <c r="F2" s="1"/>
      <c r="G2" s="1"/>
      <c r="H2" s="1"/>
      <c r="I2" s="1">
        <v>1</v>
      </c>
      <c r="J2" s="1">
        <f>I2*M2</f>
        <v>0</v>
      </c>
      <c r="K2" s="10"/>
      <c r="L2" s="10"/>
      <c r="M2" s="10">
        <f>RTD("rit2.rtd",,"RTM","POSITION")</f>
        <v>0</v>
      </c>
      <c r="N2" s="30" t="s">
        <v>0</v>
      </c>
      <c r="O2" s="27"/>
      <c r="P2" s="31"/>
      <c r="Q2" s="1"/>
      <c r="R2" s="1"/>
      <c r="S2" s="1"/>
      <c r="T2" s="1"/>
      <c r="U2" s="1"/>
      <c r="V2" s="1"/>
      <c r="W2" s="1"/>
      <c r="X2" s="1"/>
      <c r="Y2" s="10"/>
      <c r="Z2" s="10"/>
      <c r="AA2" s="38"/>
      <c r="AB2">
        <f>News!I5</f>
        <v>0.14000000000000001</v>
      </c>
      <c r="AC2" t="s">
        <v>78</v>
      </c>
    </row>
    <row r="3" spans="1:32">
      <c r="A3" s="1" t="s">
        <v>21</v>
      </c>
      <c r="B3" s="3">
        <f>IF(B10-1,0,RTD("rit2.rtd",,"TIMEREMAINING")/RTD("rit2.rtd",,"PERIODTIME")/12)</f>
        <v>0</v>
      </c>
      <c r="C3" s="1">
        <f>RTD("rit2.rtd",,"RTM1C45","BID")</f>
        <v>0</v>
      </c>
      <c r="D3" s="1">
        <f>RTD("rit2.rtd",,"RTM1C45","ASK")</f>
        <v>0</v>
      </c>
      <c r="E3" s="1">
        <f t="shared" si="0"/>
        <v>0</v>
      </c>
      <c r="F3" s="1">
        <v>45</v>
      </c>
      <c r="G3" s="1" t="s">
        <v>13</v>
      </c>
      <c r="H3" s="1" t="e">
        <f t="shared" ref="H3:H21" si="1">BSImpVol($G3,$E3,$B$6,$F3,$B$1,$B$3)</f>
        <v>#VALUE!</v>
      </c>
      <c r="I3" s="1" t="e">
        <f t="shared" ref="I3:I21" si="2">BSDelta($G3,$B$6,$F3,$B$1,$B$5,$B$3)</f>
        <v>#VALUE!</v>
      </c>
      <c r="J3" s="1" t="e">
        <f t="shared" ref="J3:J12" si="3">I3*M3*100</f>
        <v>#VALUE!</v>
      </c>
      <c r="K3" s="11" t="e">
        <f t="shared" ref="K3:K12" si="4">E3-BSPrice($G3,$B$6,$F3,$B$1,$B$7,$B$3)</f>
        <v>#VALUE!</v>
      </c>
      <c r="L3" s="11" t="e">
        <f t="shared" ref="L3:L12" si="5">E3-BSPrice($G3,$B$6,$F3,$B$1,$B$5,$B$3)</f>
        <v>#VALUE!</v>
      </c>
      <c r="M3" s="1">
        <f>RTD("rit2.rtd",,"RTM1C45","POSITION")</f>
        <v>0</v>
      </c>
      <c r="N3" s="7" t="s">
        <v>31</v>
      </c>
      <c r="O3" s="25"/>
      <c r="P3" s="17" t="s">
        <v>41</v>
      </c>
      <c r="Q3" s="1">
        <f>RTD("rit2.rtd",,"RTM2C45","BID")</f>
        <v>4.87</v>
      </c>
      <c r="R3" s="1">
        <f>RTD("rit2.rtd",,"RTM2C45","ASK")</f>
        <v>4.8899999999999997</v>
      </c>
      <c r="S3" s="1">
        <f t="shared" ref="S3" si="6">AVERAGE(Q3:R3)</f>
        <v>4.88</v>
      </c>
      <c r="T3" s="1">
        <v>45</v>
      </c>
      <c r="U3" s="1" t="s">
        <v>13</v>
      </c>
      <c r="V3" s="1">
        <f t="shared" ref="V3:V22" si="7">BSImpVol($U3,$S3,$B$6,$T3,$B$1,$B$4)</f>
        <v>6.1102265380252416E-2</v>
      </c>
      <c r="W3" s="1">
        <f t="shared" ref="W3:W22" si="8">BSDelta($U3,$B$6,$T3,$B$1,$B$5,$B$4)</f>
        <v>0.99748298305143823</v>
      </c>
      <c r="X3" s="1">
        <f t="shared" ref="X3:X22" si="9">W3*Y3*100</f>
        <v>0</v>
      </c>
      <c r="Y3" s="1">
        <f>RTD("rit2.rtd",,"RTM2C45","POSITION")</f>
        <v>0</v>
      </c>
      <c r="Z3" s="11">
        <f t="shared" ref="Z3:Z22" si="10">S3-BSPrice($U3,$B$6,$T3,$B$1,$B$7,$B$4)</f>
        <v>-2.6587114465836947E-4</v>
      </c>
      <c r="AA3" s="12">
        <f t="shared" ref="AA3:AA22" si="11">S3-BSPrice($U3,$B$6,$T3,$B$1,$B$5,$B$4)</f>
        <v>-1.3944200572835186E-3</v>
      </c>
      <c r="AB3">
        <f>News!J5</f>
        <v>0.16</v>
      </c>
      <c r="AC3" t="s">
        <v>79</v>
      </c>
    </row>
    <row r="4" spans="1:32">
      <c r="A4" s="1" t="s">
        <v>22</v>
      </c>
      <c r="B4" s="6">
        <f>IF(B10-1,RTD("rit2.rtd",,"TIMEREMAINING")/RTD("rit2.rtd",,"PERIODTIME")/12,RTD("rit2.rtd",,"TIMEREMAINING")/RTD("rit2.rtd",,"PERIODTIME")/12+1/12)</f>
        <v>5.3333333333333337E-2</v>
      </c>
      <c r="C4" s="1">
        <f>RTD("rit2.rtd",,"RTM1C46","BID")</f>
        <v>0</v>
      </c>
      <c r="D4" s="1">
        <f>RTD("rit2.rtd",,"RTM1C46","ASK")</f>
        <v>0</v>
      </c>
      <c r="E4" s="1">
        <f t="shared" ref="E4:E21" si="12">AVERAGE(C4:D4)</f>
        <v>0</v>
      </c>
      <c r="F4" s="1">
        <v>46</v>
      </c>
      <c r="G4" s="1" t="s">
        <v>13</v>
      </c>
      <c r="H4" s="1" t="e">
        <f t="shared" si="1"/>
        <v>#VALUE!</v>
      </c>
      <c r="I4" s="1" t="e">
        <f t="shared" si="2"/>
        <v>#VALUE!</v>
      </c>
      <c r="J4" s="1" t="e">
        <f t="shared" si="3"/>
        <v>#VALUE!</v>
      </c>
      <c r="K4" s="11" t="e">
        <f t="shared" si="4"/>
        <v>#VALUE!</v>
      </c>
      <c r="L4" s="11" t="e">
        <f t="shared" si="5"/>
        <v>#VALUE!</v>
      </c>
      <c r="M4" s="1">
        <f>RTD("rit2.rtd",,"RTM1C46","POSITION")</f>
        <v>0</v>
      </c>
      <c r="N4" s="7" t="s">
        <v>32</v>
      </c>
      <c r="O4" s="25"/>
      <c r="P4" s="17" t="s">
        <v>42</v>
      </c>
      <c r="Q4" s="1">
        <f>RTD("rit2.rtd",,"RTM2C46","BID")</f>
        <v>3.87</v>
      </c>
      <c r="R4" s="1">
        <f>RTD("rit2.rtd",,"RTM2C46","ASK")</f>
        <v>3.89</v>
      </c>
      <c r="S4" s="1">
        <f t="shared" ref="S4:S20" si="13">AVERAGE(Q4:R4)</f>
        <v>3.88</v>
      </c>
      <c r="T4" s="1">
        <v>46</v>
      </c>
      <c r="U4" s="1" t="s">
        <v>13</v>
      </c>
      <c r="V4" s="1">
        <f t="shared" si="7"/>
        <v>4.9597959544528086E-2</v>
      </c>
      <c r="W4" s="1">
        <f t="shared" si="8"/>
        <v>0.98644832875653776</v>
      </c>
      <c r="X4" s="1">
        <f t="shared" si="9"/>
        <v>0</v>
      </c>
      <c r="Y4" s="1">
        <f>RTD("rit2.rtd",,"RTM2C46","POSITION")</f>
        <v>0</v>
      </c>
      <c r="Z4" s="11">
        <f t="shared" si="10"/>
        <v>-2.8122144383742054E-3</v>
      </c>
      <c r="AA4" s="12">
        <f t="shared" si="11"/>
        <v>-8.8587234777532942E-3</v>
      </c>
      <c r="AB4">
        <f>News!K5</f>
        <v>0.16</v>
      </c>
      <c r="AC4" t="s">
        <v>80</v>
      </c>
    </row>
    <row r="5" spans="1:32">
      <c r="A5" s="1" t="s">
        <v>16</v>
      </c>
      <c r="B5" s="3">
        <f>IF(ISBLANK(B9),B8,B9)</f>
        <v>0.16</v>
      </c>
      <c r="C5" s="1">
        <f>RTD("rit2.rtd",,"RTM1C47","BID")</f>
        <v>0</v>
      </c>
      <c r="D5" s="1">
        <f>RTD("rit2.rtd",,"RTM1C47","ASK")</f>
        <v>0</v>
      </c>
      <c r="E5" s="1">
        <f t="shared" si="12"/>
        <v>0</v>
      </c>
      <c r="F5" s="1">
        <v>47</v>
      </c>
      <c r="G5" s="1" t="s">
        <v>13</v>
      </c>
      <c r="H5" s="1" t="e">
        <f t="shared" si="1"/>
        <v>#VALUE!</v>
      </c>
      <c r="I5" s="1" t="e">
        <f t="shared" si="2"/>
        <v>#VALUE!</v>
      </c>
      <c r="J5" s="1" t="e">
        <f t="shared" si="3"/>
        <v>#VALUE!</v>
      </c>
      <c r="K5" s="11" t="e">
        <f t="shared" si="4"/>
        <v>#VALUE!</v>
      </c>
      <c r="L5" s="11" t="e">
        <f t="shared" si="5"/>
        <v>#VALUE!</v>
      </c>
      <c r="M5" s="1">
        <f>RTD("rit2.rtd",,"RTM1C47","POSITION")</f>
        <v>0</v>
      </c>
      <c r="N5" s="7" t="s">
        <v>33</v>
      </c>
      <c r="O5" s="25"/>
      <c r="P5" s="17" t="s">
        <v>43</v>
      </c>
      <c r="Q5" s="1">
        <f>RTD("rit2.rtd",,"RTM2C47","BID")</f>
        <v>2.89</v>
      </c>
      <c r="R5" s="1">
        <f>RTD("rit2.rtd",,"RTM2C47","ASK")</f>
        <v>2.91</v>
      </c>
      <c r="S5" s="1">
        <f t="shared" si="13"/>
        <v>2.9000000000000004</v>
      </c>
      <c r="T5" s="1">
        <v>47</v>
      </c>
      <c r="U5" s="1" t="s">
        <v>13</v>
      </c>
      <c r="V5" s="1">
        <f t="shared" si="7"/>
        <v>0.13973509811759252</v>
      </c>
      <c r="W5" s="1">
        <f t="shared" si="8"/>
        <v>0.94823728890055237</v>
      </c>
      <c r="X5" s="1">
        <f t="shared" si="9"/>
        <v>0</v>
      </c>
      <c r="Y5" s="1">
        <f>RTD("rit2.rtd",,"RTM2C47","POSITION")</f>
        <v>0</v>
      </c>
      <c r="Z5" s="11">
        <f t="shared" si="10"/>
        <v>8.5319392551674866E-4</v>
      </c>
      <c r="AA5" s="12">
        <f t="shared" si="11"/>
        <v>-2.0652162398787866E-2</v>
      </c>
    </row>
    <row r="6" spans="1:32">
      <c r="A6" s="1" t="s">
        <v>11</v>
      </c>
      <c r="B6" s="44">
        <f>E2</f>
        <v>49.879999999999995</v>
      </c>
      <c r="C6" s="1">
        <f>RTD("rit2.rtd",,"RTM1C48","BID")</f>
        <v>0</v>
      </c>
      <c r="D6" s="1">
        <f>RTD("rit2.rtd",,"RTM1C48","ASK")</f>
        <v>0</v>
      </c>
      <c r="E6" s="1">
        <f t="shared" si="12"/>
        <v>0</v>
      </c>
      <c r="F6" s="1">
        <v>48</v>
      </c>
      <c r="G6" s="1" t="s">
        <v>13</v>
      </c>
      <c r="H6" s="1" t="e">
        <f t="shared" si="1"/>
        <v>#VALUE!</v>
      </c>
      <c r="I6" s="1" t="e">
        <f t="shared" si="2"/>
        <v>#VALUE!</v>
      </c>
      <c r="J6" s="1" t="e">
        <f t="shared" si="3"/>
        <v>#VALUE!</v>
      </c>
      <c r="K6" s="11" t="e">
        <f t="shared" si="4"/>
        <v>#VALUE!</v>
      </c>
      <c r="L6" s="11" t="e">
        <f t="shared" si="5"/>
        <v>#VALUE!</v>
      </c>
      <c r="M6" s="1">
        <f>RTD("rit2.rtd",,"RTM1C48","POSITION")</f>
        <v>0</v>
      </c>
      <c r="N6" s="7" t="s">
        <v>34</v>
      </c>
      <c r="O6" s="25"/>
      <c r="P6" s="17" t="s">
        <v>44</v>
      </c>
      <c r="Q6" s="1">
        <f>RTD("rit2.rtd",,"RTM2C48","BID")</f>
        <v>1.96</v>
      </c>
      <c r="R6" s="1">
        <f>RTD("rit2.rtd",,"RTM2C48","ASK")</f>
        <v>1.98</v>
      </c>
      <c r="S6" s="1">
        <f t="shared" si="13"/>
        <v>1.97</v>
      </c>
      <c r="T6" s="1">
        <v>48</v>
      </c>
      <c r="U6" s="1" t="s">
        <v>13</v>
      </c>
      <c r="V6" s="1">
        <f t="shared" si="7"/>
        <v>0.13959410810371214</v>
      </c>
      <c r="W6" s="1">
        <f t="shared" si="8"/>
        <v>0.85502307647716058</v>
      </c>
      <c r="X6" s="1">
        <f t="shared" si="9"/>
        <v>0</v>
      </c>
      <c r="Y6" s="1">
        <f>RTD("rit2.rtd",,"RTM2C48","POSITION")</f>
        <v>0</v>
      </c>
      <c r="Z6" s="11">
        <f t="shared" si="10"/>
        <v>2.0340171329291667E-3</v>
      </c>
      <c r="AA6" s="12">
        <f t="shared" si="11"/>
        <v>-4.956002826219108E-2</v>
      </c>
    </row>
    <row r="7" spans="1:32">
      <c r="A7" s="1" t="s">
        <v>15</v>
      </c>
      <c r="B7" s="3">
        <f>_xlfn.AGGREGATE(12,6,'Imp Vols'!A1:A40)</f>
        <v>0.13867181671366285</v>
      </c>
      <c r="C7" s="1">
        <f>RTD("rit2.rtd",,"RTM1C49","BID")</f>
        <v>0</v>
      </c>
      <c r="D7" s="1">
        <f>RTD("rit2.rtd",,"RTM1C49","ASK")</f>
        <v>0</v>
      </c>
      <c r="E7" s="1">
        <f t="shared" si="12"/>
        <v>0</v>
      </c>
      <c r="F7" s="1">
        <v>49</v>
      </c>
      <c r="G7" s="1" t="s">
        <v>13</v>
      </c>
      <c r="H7" s="1" t="e">
        <f t="shared" si="1"/>
        <v>#VALUE!</v>
      </c>
      <c r="I7" s="1" t="e">
        <f t="shared" si="2"/>
        <v>#VALUE!</v>
      </c>
      <c r="J7" s="1" t="e">
        <f t="shared" si="3"/>
        <v>#VALUE!</v>
      </c>
      <c r="K7" s="11" t="e">
        <f t="shared" si="4"/>
        <v>#VALUE!</v>
      </c>
      <c r="L7" s="11" t="e">
        <f t="shared" si="5"/>
        <v>#VALUE!</v>
      </c>
      <c r="M7" s="1">
        <f>RTD("rit2.rtd",,"RTM1C49","POSITION")</f>
        <v>0</v>
      </c>
      <c r="N7" s="7" t="s">
        <v>35</v>
      </c>
      <c r="O7" s="25"/>
      <c r="P7" s="17" t="s">
        <v>45</v>
      </c>
      <c r="Q7" s="1">
        <f>RTD("rit2.rtd",,"RTM2C49","BID")</f>
        <v>1.1499999999999999</v>
      </c>
      <c r="R7" s="1">
        <f>RTD("rit2.rtd",,"RTM2C49","ASK")</f>
        <v>1.17</v>
      </c>
      <c r="S7" s="1">
        <f t="shared" si="13"/>
        <v>1.1599999999999999</v>
      </c>
      <c r="T7" s="1">
        <v>49</v>
      </c>
      <c r="U7" s="1" t="s">
        <v>13</v>
      </c>
      <c r="V7" s="1">
        <f t="shared" si="7"/>
        <v>0.13694189679900756</v>
      </c>
      <c r="W7" s="1">
        <f t="shared" si="8"/>
        <v>0.6915318292238033</v>
      </c>
      <c r="X7" s="1">
        <f t="shared" si="9"/>
        <v>0</v>
      </c>
      <c r="Y7" s="1">
        <f>RTD("rit2.rtd",,"RTM2C49","POSITION")</f>
        <v>0</v>
      </c>
      <c r="Z7" s="11">
        <f t="shared" si="10"/>
        <v>-6.7377047574874727E-3</v>
      </c>
      <c r="AA7" s="12">
        <f t="shared" si="11"/>
        <v>-9.1703847355656842E-2</v>
      </c>
    </row>
    <row r="8" spans="1:32">
      <c r="A8" s="5" t="s">
        <v>84</v>
      </c>
      <c r="B8" s="3">
        <f>IF(B13&lt;10,AVERAGE(News!I5:J5),News!K5)</f>
        <v>0.16</v>
      </c>
      <c r="C8" s="1">
        <f>RTD("rit2.rtd",,"RTM1C50","BID")</f>
        <v>0</v>
      </c>
      <c r="D8" s="1">
        <f>RTD("rit2.rtd",,"RTM1C50","ASK")</f>
        <v>0</v>
      </c>
      <c r="E8" s="1">
        <f t="shared" si="12"/>
        <v>0</v>
      </c>
      <c r="F8" s="1">
        <v>50</v>
      </c>
      <c r="G8" s="1" t="s">
        <v>13</v>
      </c>
      <c r="H8" s="1" t="e">
        <f t="shared" si="1"/>
        <v>#VALUE!</v>
      </c>
      <c r="I8" s="1" t="e">
        <f t="shared" si="2"/>
        <v>#VALUE!</v>
      </c>
      <c r="J8" s="1" t="e">
        <f t="shared" si="3"/>
        <v>#VALUE!</v>
      </c>
      <c r="K8" s="11" t="e">
        <f t="shared" si="4"/>
        <v>#VALUE!</v>
      </c>
      <c r="L8" s="11" t="e">
        <f t="shared" si="5"/>
        <v>#VALUE!</v>
      </c>
      <c r="M8" s="1">
        <f>RTD("rit2.rtd",,"RTM1C50","POSITION")</f>
        <v>0</v>
      </c>
      <c r="N8" s="7" t="s">
        <v>36</v>
      </c>
      <c r="O8" s="25"/>
      <c r="P8" s="17" t="s">
        <v>46</v>
      </c>
      <c r="Q8" s="1">
        <f>RTD("rit2.rtd",,"RTM2C50","BID")</f>
        <v>0.56000000000000005</v>
      </c>
      <c r="R8" s="1">
        <f>RTD("rit2.rtd",,"RTM2C50","ASK")</f>
        <v>0.57999999999999996</v>
      </c>
      <c r="S8" s="1">
        <f t="shared" si="13"/>
        <v>0.57000000000000006</v>
      </c>
      <c r="T8" s="1">
        <v>50</v>
      </c>
      <c r="U8" s="1" t="s">
        <v>13</v>
      </c>
      <c r="V8" s="1">
        <f t="shared" si="7"/>
        <v>0.13653438814867064</v>
      </c>
      <c r="W8" s="1">
        <f t="shared" si="8"/>
        <v>0.48143404304836857</v>
      </c>
      <c r="X8" s="1">
        <f t="shared" si="9"/>
        <v>0</v>
      </c>
      <c r="Y8" s="1">
        <f>RTD("rit2.rtd",,"RTM2C50","POSITION")</f>
        <v>0</v>
      </c>
      <c r="Z8" s="11">
        <f t="shared" si="10"/>
        <v>-9.8051181388607578E-3</v>
      </c>
      <c r="AA8" s="12">
        <f t="shared" si="11"/>
        <v>-0.10768362106125218</v>
      </c>
    </row>
    <row r="9" spans="1:32">
      <c r="A9" s="5" t="s">
        <v>17</v>
      </c>
      <c r="B9" s="3"/>
      <c r="C9" s="1">
        <f>RTD("rit2.rtd",,"RTM1C51","BID")</f>
        <v>0</v>
      </c>
      <c r="D9" s="1">
        <f>RTD("rit2.rtd",,"RTM1C51","ASK")</f>
        <v>0</v>
      </c>
      <c r="E9" s="1">
        <f t="shared" si="12"/>
        <v>0</v>
      </c>
      <c r="F9" s="1">
        <v>51</v>
      </c>
      <c r="G9" s="1" t="s">
        <v>13</v>
      </c>
      <c r="H9" s="1" t="e">
        <f t="shared" si="1"/>
        <v>#VALUE!</v>
      </c>
      <c r="I9" s="1" t="e">
        <f t="shared" si="2"/>
        <v>#VALUE!</v>
      </c>
      <c r="J9" s="1" t="e">
        <f t="shared" si="3"/>
        <v>#VALUE!</v>
      </c>
      <c r="K9" s="11" t="e">
        <f t="shared" si="4"/>
        <v>#VALUE!</v>
      </c>
      <c r="L9" s="11" t="e">
        <f t="shared" si="5"/>
        <v>#VALUE!</v>
      </c>
      <c r="M9" s="1">
        <f>RTD("rit2.rtd",,"RTM1C51","POSITION")</f>
        <v>0</v>
      </c>
      <c r="N9" s="7" t="s">
        <v>37</v>
      </c>
      <c r="O9" s="25"/>
      <c r="P9" s="17" t="s">
        <v>47</v>
      </c>
      <c r="Q9" s="1">
        <f>RTD("rit2.rtd",,"RTM2C51","BID")</f>
        <v>0.22</v>
      </c>
      <c r="R9" s="1">
        <f>RTD("rit2.rtd",,"RTM2C51","ASK")</f>
        <v>0.24</v>
      </c>
      <c r="S9" s="1">
        <f t="shared" si="13"/>
        <v>0.22999999999999998</v>
      </c>
      <c r="T9" s="1">
        <v>51</v>
      </c>
      <c r="U9" s="1" t="s">
        <v>13</v>
      </c>
      <c r="V9" s="1">
        <f t="shared" si="7"/>
        <v>0.13774952532361678</v>
      </c>
      <c r="W9" s="1">
        <f t="shared" si="8"/>
        <v>0.28012201242187085</v>
      </c>
      <c r="X9" s="1">
        <f t="shared" si="9"/>
        <v>0</v>
      </c>
      <c r="Y9" s="1">
        <f>RTD("rit2.rtd",,"RTM2C51","POSITION")</f>
        <v>0</v>
      </c>
      <c r="Z9" s="11">
        <f t="shared" si="10"/>
        <v>-3.3641500906100852E-3</v>
      </c>
      <c r="AA9" s="12">
        <f t="shared" si="11"/>
        <v>-8.3832997530198572E-2</v>
      </c>
    </row>
    <row r="10" spans="1:32">
      <c r="A10" s="5" t="s">
        <v>20</v>
      </c>
      <c r="B10" s="3">
        <f>RTD("rit2.rtd",,"PERIOD")</f>
        <v>2</v>
      </c>
      <c r="C10" s="1">
        <f>RTD("rit2.rtd",,"RTM1C52","BID")</f>
        <v>0</v>
      </c>
      <c r="D10" s="1">
        <f>RTD("rit2.rtd",,"RTM1C52","ASK")</f>
        <v>0</v>
      </c>
      <c r="E10" s="1">
        <f t="shared" si="12"/>
        <v>0</v>
      </c>
      <c r="F10" s="1">
        <v>52</v>
      </c>
      <c r="G10" s="1" t="s">
        <v>13</v>
      </c>
      <c r="H10" s="1" t="e">
        <f t="shared" si="1"/>
        <v>#VALUE!</v>
      </c>
      <c r="I10" s="1" t="e">
        <f t="shared" si="2"/>
        <v>#VALUE!</v>
      </c>
      <c r="J10" s="1" t="e">
        <f t="shared" si="3"/>
        <v>#VALUE!</v>
      </c>
      <c r="K10" s="11" t="e">
        <f t="shared" si="4"/>
        <v>#VALUE!</v>
      </c>
      <c r="L10" s="11" t="e">
        <f t="shared" si="5"/>
        <v>#VALUE!</v>
      </c>
      <c r="M10" s="1">
        <f>RTD("rit2.rtd",,"RTM1C52","POSITION")</f>
        <v>0</v>
      </c>
      <c r="N10" s="7" t="s">
        <v>38</v>
      </c>
      <c r="O10" s="25"/>
      <c r="P10" s="17" t="s">
        <v>48</v>
      </c>
      <c r="Q10" s="1">
        <f>RTD("rit2.rtd",,"RTM2C52","BID")</f>
        <v>0.06</v>
      </c>
      <c r="R10" s="1">
        <f>RTD("rit2.rtd",,"RTM2C52","ASK")</f>
        <v>0.08</v>
      </c>
      <c r="S10" s="1">
        <f t="shared" si="13"/>
        <v>7.0000000000000007E-2</v>
      </c>
      <c r="T10" s="1">
        <v>52</v>
      </c>
      <c r="U10" s="1" t="s">
        <v>13</v>
      </c>
      <c r="V10" s="1">
        <f t="shared" si="7"/>
        <v>0.13651411392287607</v>
      </c>
      <c r="W10" s="1">
        <f t="shared" si="8"/>
        <v>0.13393167459552174</v>
      </c>
      <c r="X10" s="1">
        <f t="shared" si="9"/>
        <v>0</v>
      </c>
      <c r="Y10" s="1">
        <f>RTD("rit2.rtd",,"RTM2C52","POSITION")</f>
        <v>0</v>
      </c>
      <c r="Z10" s="11">
        <f t="shared" si="10"/>
        <v>-4.292422121645878E-3</v>
      </c>
      <c r="AA10" s="12">
        <f t="shared" si="11"/>
        <v>-5.2501560100684685E-2</v>
      </c>
      <c r="AF10" s="21"/>
    </row>
    <row r="11" spans="1:32">
      <c r="A11" s="5" t="s">
        <v>30</v>
      </c>
      <c r="B11" s="3">
        <f>RTD("rit2.rtd",,"PL")</f>
        <v>-8150</v>
      </c>
      <c r="C11" s="23">
        <f>RTD("rit2.rtd",,"RTM1C53","BID")</f>
        <v>0</v>
      </c>
      <c r="D11" s="1">
        <f>RTD("rit2.rtd",,"RTM1C53","ASK")</f>
        <v>0</v>
      </c>
      <c r="E11" s="1">
        <f t="shared" si="12"/>
        <v>0</v>
      </c>
      <c r="F11" s="1">
        <v>53</v>
      </c>
      <c r="G11" s="1" t="s">
        <v>13</v>
      </c>
      <c r="H11" s="1" t="e">
        <f t="shared" si="1"/>
        <v>#VALUE!</v>
      </c>
      <c r="I11" s="1" t="e">
        <f t="shared" si="2"/>
        <v>#VALUE!</v>
      </c>
      <c r="J11" s="1" t="e">
        <f t="shared" si="3"/>
        <v>#VALUE!</v>
      </c>
      <c r="K11" s="11" t="e">
        <f t="shared" si="4"/>
        <v>#VALUE!</v>
      </c>
      <c r="L11" s="11" t="e">
        <f t="shared" si="5"/>
        <v>#VALUE!</v>
      </c>
      <c r="M11" s="1">
        <f>RTD("rit2.rtd",,"RTM1C53","POSITION")</f>
        <v>0</v>
      </c>
      <c r="N11" s="7" t="s">
        <v>39</v>
      </c>
      <c r="O11" s="25"/>
      <c r="P11" s="17" t="s">
        <v>49</v>
      </c>
      <c r="Q11" s="1">
        <f>RTD("rit2.rtd",,"RTM2C53","BID")</f>
        <v>0.01</v>
      </c>
      <c r="R11" s="1">
        <f>RTD("rit2.rtd",,"RTM2C53","ASK")</f>
        <v>0.03</v>
      </c>
      <c r="S11" s="1">
        <f t="shared" si="13"/>
        <v>0.02</v>
      </c>
      <c r="T11" s="1">
        <v>53</v>
      </c>
      <c r="U11" s="1" t="s">
        <v>13</v>
      </c>
      <c r="V11" s="1">
        <f t="shared" si="7"/>
        <v>0.14058497180646715</v>
      </c>
      <c r="W11" s="1">
        <f t="shared" si="8"/>
        <v>5.2240924139834777E-2</v>
      </c>
      <c r="X11" s="1">
        <f t="shared" si="9"/>
        <v>0</v>
      </c>
      <c r="Y11" s="1">
        <f>RTD("rit2.rtd",,"RTM2C53","POSITION")</f>
        <v>0</v>
      </c>
      <c r="Z11" s="11">
        <f t="shared" si="10"/>
        <v>1.5389780510694888E-3</v>
      </c>
      <c r="AA11" s="12">
        <f t="shared" si="11"/>
        <v>-1.9962449734634475E-2</v>
      </c>
    </row>
    <row r="12" spans="1:32" ht="15" thickBot="1">
      <c r="A12" s="1" t="s">
        <v>18</v>
      </c>
      <c r="B12" s="3">
        <f>B23+J2</f>
        <v>0</v>
      </c>
      <c r="C12" s="23">
        <f>RTD("rit2.rtd",,"RTM1C54","BID")</f>
        <v>0</v>
      </c>
      <c r="D12" s="1">
        <f>RTD("rit2.rtd",,"RTM1C54","ASK")</f>
        <v>0</v>
      </c>
      <c r="E12" s="1">
        <f t="shared" si="12"/>
        <v>0</v>
      </c>
      <c r="F12" s="1">
        <v>54</v>
      </c>
      <c r="G12" s="1" t="s">
        <v>13</v>
      </c>
      <c r="H12" s="1" t="e">
        <f t="shared" si="1"/>
        <v>#VALUE!</v>
      </c>
      <c r="I12" s="1" t="e">
        <f t="shared" si="2"/>
        <v>#VALUE!</v>
      </c>
      <c r="J12" s="1" t="e">
        <f t="shared" si="3"/>
        <v>#VALUE!</v>
      </c>
      <c r="K12" s="13" t="e">
        <f t="shared" si="4"/>
        <v>#VALUE!</v>
      </c>
      <c r="L12" s="13" t="e">
        <f t="shared" si="5"/>
        <v>#VALUE!</v>
      </c>
      <c r="M12" s="4">
        <f>RTD("rit2.rtd",,"RTM1C54","POSITION")</f>
        <v>0</v>
      </c>
      <c r="N12" s="19" t="s">
        <v>40</v>
      </c>
      <c r="O12" s="33"/>
      <c r="P12" s="18" t="s">
        <v>50</v>
      </c>
      <c r="Q12" s="4">
        <f>RTD("rit2.rtd",,"RTM2C54","BID")</f>
        <v>0.01</v>
      </c>
      <c r="R12" s="4">
        <f>RTD("rit2.rtd",,"RTM2C54","ASK")</f>
        <v>0.03</v>
      </c>
      <c r="S12" s="4">
        <f t="shared" si="13"/>
        <v>0.02</v>
      </c>
      <c r="T12" s="4">
        <v>54</v>
      </c>
      <c r="U12" s="4" t="s">
        <v>13</v>
      </c>
      <c r="V12" s="4">
        <f t="shared" si="7"/>
        <v>0.17555492840296461</v>
      </c>
      <c r="W12" s="4">
        <f t="shared" si="8"/>
        <v>1.6611663392222045E-2</v>
      </c>
      <c r="X12" s="4">
        <f t="shared" si="9"/>
        <v>0</v>
      </c>
      <c r="Y12" s="4">
        <f>RTD("rit2.rtd",,"RTM2C54","POSITION")</f>
        <v>0</v>
      </c>
      <c r="Z12" s="13">
        <f t="shared" si="10"/>
        <v>1.6437282155293036E-2</v>
      </c>
      <c r="AA12" s="14">
        <f t="shared" si="11"/>
        <v>9.1430932053596474E-3</v>
      </c>
    </row>
    <row r="13" spans="1:32" ht="15" thickBot="1">
      <c r="A13" s="41" t="s">
        <v>71</v>
      </c>
      <c r="B13" s="42">
        <f>MOD(RTD("rit2.rtd",,"TIMEREMAINING"),75)</f>
        <v>42</v>
      </c>
      <c r="C13" s="10">
        <f>RTD("rit2.rtd",,"RTM1P45","BID")</f>
        <v>0</v>
      </c>
      <c r="D13" s="10">
        <f>RTD("rit2.rtd",,"RTM1P45","ASK")</f>
        <v>0</v>
      </c>
      <c r="E13" s="10">
        <f t="shared" si="12"/>
        <v>0</v>
      </c>
      <c r="F13" s="10">
        <v>45</v>
      </c>
      <c r="G13" s="10" t="s">
        <v>14</v>
      </c>
      <c r="H13" s="10" t="e">
        <f t="shared" si="1"/>
        <v>#VALUE!</v>
      </c>
      <c r="I13" s="10" t="e">
        <f t="shared" si="2"/>
        <v>#VALUE!</v>
      </c>
      <c r="J13" s="10" t="e">
        <f t="shared" ref="J13:J22" si="14">I13*M13*100</f>
        <v>#VALUE!</v>
      </c>
      <c r="K13" s="29" t="e">
        <f t="shared" ref="K13:K22" si="15">E13-BSPrice($G13,$B$6,$F13,$B$1,$B$7,$B$3)</f>
        <v>#VALUE!</v>
      </c>
      <c r="L13" s="29" t="e">
        <f t="shared" ref="L13:L22" si="16">E13-BSPrice($G13,$B$6,$F13,$B$1,$B$5,$B$3)</f>
        <v>#VALUE!</v>
      </c>
      <c r="M13" s="10">
        <f>RTD("rit2.rtd",,"RTM1P45","POSITION")</f>
        <v>0</v>
      </c>
      <c r="N13" s="30" t="s">
        <v>70</v>
      </c>
      <c r="O13" s="26"/>
      <c r="P13" s="31" t="s">
        <v>66</v>
      </c>
      <c r="Q13" s="10">
        <f>RTD("rit2.rtd",,"RTM2P45","BID")</f>
        <v>0.01</v>
      </c>
      <c r="R13" s="10">
        <f>RTD("rit2.rtd",,"RTM2P45","ASK")</f>
        <v>0.03</v>
      </c>
      <c r="S13" s="10">
        <f>AVERAGE(Q13:R13)</f>
        <v>0.02</v>
      </c>
      <c r="T13" s="10">
        <v>45</v>
      </c>
      <c r="U13" s="10" t="s">
        <v>14</v>
      </c>
      <c r="V13" s="10">
        <f>BSImpVol($U13,$S13,$B$6,$T13,$B$1,$B$4)</f>
        <v>0.22170720158044777</v>
      </c>
      <c r="W13" s="10">
        <f>BSDelta($U13,$B$6,$T13,$B$1,$B$5,$B$4)</f>
        <v>-2.5170169485618007E-3</v>
      </c>
      <c r="X13" s="10">
        <f>W13*Y13*100</f>
        <v>0</v>
      </c>
      <c r="Y13" s="10">
        <f>RTD("rit2.rtd",,"RTM2P45","POSITION")</f>
        <v>0</v>
      </c>
      <c r="Z13" s="29">
        <f>S13-BSPrice($U13,$B$6,$T13,$B$1,$B$7,$B$4)</f>
        <v>1.9734128855339528E-2</v>
      </c>
      <c r="AA13" s="32">
        <f>S13-BSPrice($U13,$B$6,$T13,$B$1,$B$5,$B$4)</f>
        <v>1.8605579942714705E-2</v>
      </c>
    </row>
    <row r="14" spans="1:32">
      <c r="B14" s="15"/>
      <c r="C14" s="1">
        <f>RTD("rit2.rtd",,"RTM1P46","BID")</f>
        <v>0</v>
      </c>
      <c r="D14" s="1">
        <f>RTD("rit2.rtd",,"RTM1P46","ASK")</f>
        <v>0</v>
      </c>
      <c r="E14" s="1">
        <f t="shared" si="12"/>
        <v>0</v>
      </c>
      <c r="F14" s="1">
        <v>46</v>
      </c>
      <c r="G14" s="1" t="s">
        <v>14</v>
      </c>
      <c r="H14" s="1" t="e">
        <f t="shared" si="1"/>
        <v>#VALUE!</v>
      </c>
      <c r="I14" s="1" t="e">
        <f t="shared" si="2"/>
        <v>#VALUE!</v>
      </c>
      <c r="J14" s="1" t="e">
        <f t="shared" si="14"/>
        <v>#VALUE!</v>
      </c>
      <c r="K14" s="29" t="e">
        <f t="shared" si="15"/>
        <v>#VALUE!</v>
      </c>
      <c r="L14" s="29" t="e">
        <f t="shared" si="16"/>
        <v>#VALUE!</v>
      </c>
      <c r="M14" s="10">
        <f>RTD("rit2.rtd",,"RTM1P46","POSITION")</f>
        <v>0</v>
      </c>
      <c r="N14" s="30" t="s">
        <v>51</v>
      </c>
      <c r="O14" s="25"/>
      <c r="P14" s="31" t="s">
        <v>57</v>
      </c>
      <c r="Q14" s="10">
        <f>RTD("rit2.rtd",,"RTM2P46","BID")</f>
        <v>0.01</v>
      </c>
      <c r="R14" s="10">
        <f>RTD("rit2.rtd",,"RTM2P46","ASK")</f>
        <v>0.03</v>
      </c>
      <c r="S14" s="10">
        <f t="shared" si="13"/>
        <v>0.02</v>
      </c>
      <c r="T14" s="10">
        <v>46</v>
      </c>
      <c r="U14" s="10" t="s">
        <v>14</v>
      </c>
      <c r="V14" s="10">
        <f t="shared" si="7"/>
        <v>0.18088783309669043</v>
      </c>
      <c r="W14" s="10">
        <f t="shared" si="8"/>
        <v>-1.3551671243462238E-2</v>
      </c>
      <c r="X14" s="10">
        <f t="shared" si="9"/>
        <v>0</v>
      </c>
      <c r="Y14" s="10">
        <f>RTD("rit2.rtd",,"RTM2P46","POSITION")</f>
        <v>0</v>
      </c>
      <c r="Z14" s="29">
        <f t="shared" si="10"/>
        <v>1.7187785561618801E-2</v>
      </c>
      <c r="AA14" s="32">
        <f t="shared" si="11"/>
        <v>1.1141276522243154E-2</v>
      </c>
    </row>
    <row r="15" spans="1:32">
      <c r="A15" s="9" t="s">
        <v>27</v>
      </c>
      <c r="B15" s="15"/>
      <c r="C15" s="1">
        <f>RTD("rit2.rtd",,"RTM1P47","BID")</f>
        <v>0</v>
      </c>
      <c r="D15" s="1">
        <f>RTD("rit2.rtd",,"RTM1P47","ASK")</f>
        <v>0</v>
      </c>
      <c r="E15" s="1">
        <f t="shared" si="12"/>
        <v>0</v>
      </c>
      <c r="F15" s="1">
        <v>47</v>
      </c>
      <c r="G15" s="1" t="s">
        <v>14</v>
      </c>
      <c r="H15" s="1" t="e">
        <f t="shared" si="1"/>
        <v>#VALUE!</v>
      </c>
      <c r="I15" s="1" t="e">
        <f t="shared" si="2"/>
        <v>#VALUE!</v>
      </c>
      <c r="J15" s="1" t="e">
        <f t="shared" si="14"/>
        <v>#VALUE!</v>
      </c>
      <c r="K15" s="11" t="e">
        <f t="shared" si="15"/>
        <v>#VALUE!</v>
      </c>
      <c r="L15" s="11" t="e">
        <f t="shared" si="16"/>
        <v>#VALUE!</v>
      </c>
      <c r="M15" s="1">
        <f>RTD("rit2.rtd",,"RTM1P47","POSITION")</f>
        <v>0</v>
      </c>
      <c r="N15" s="7" t="s">
        <v>52</v>
      </c>
      <c r="O15" s="25"/>
      <c r="P15" s="17" t="s">
        <v>58</v>
      </c>
      <c r="Q15" s="1">
        <f>RTD("rit2.rtd",,"RTM2P47","BID")</f>
        <v>0.01</v>
      </c>
      <c r="R15" s="1">
        <f>RTD("rit2.rtd",,"RTM2P47","ASK")</f>
        <v>0.03</v>
      </c>
      <c r="S15" s="1">
        <f t="shared" si="13"/>
        <v>0.02</v>
      </c>
      <c r="T15" s="1">
        <v>47</v>
      </c>
      <c r="U15" s="1" t="s">
        <v>14</v>
      </c>
      <c r="V15" s="1">
        <f t="shared" si="7"/>
        <v>0.13973509811758364</v>
      </c>
      <c r="W15" s="1">
        <f t="shared" si="8"/>
        <v>-5.1762711099447675E-2</v>
      </c>
      <c r="X15" s="1">
        <f t="shared" si="9"/>
        <v>0</v>
      </c>
      <c r="Y15" s="1">
        <f>RTD("rit2.rtd",,"RTM2P47","POSITION")</f>
        <v>0</v>
      </c>
      <c r="Z15" s="11">
        <f t="shared" si="10"/>
        <v>8.5319392551184633E-4</v>
      </c>
      <c r="AA15" s="12">
        <f t="shared" si="11"/>
        <v>-2.0652162398790991E-2</v>
      </c>
    </row>
    <row r="16" spans="1:32">
      <c r="A16" s="9" t="s">
        <v>23</v>
      </c>
      <c r="B16" s="15">
        <v>2</v>
      </c>
      <c r="C16" s="1">
        <f>RTD("rit2.rtd",,"RTM1P48","BID")</f>
        <v>0</v>
      </c>
      <c r="D16" s="1">
        <f>RTD("rit2.rtd",,"RTM1P48","ASK")</f>
        <v>0</v>
      </c>
      <c r="E16" s="1">
        <f t="shared" si="12"/>
        <v>0</v>
      </c>
      <c r="F16" s="1">
        <v>48</v>
      </c>
      <c r="G16" s="1" t="s">
        <v>14</v>
      </c>
      <c r="H16" s="1" t="e">
        <f t="shared" si="1"/>
        <v>#VALUE!</v>
      </c>
      <c r="I16" s="1" t="e">
        <f t="shared" si="2"/>
        <v>#VALUE!</v>
      </c>
      <c r="J16" s="1" t="e">
        <f t="shared" si="14"/>
        <v>#VALUE!</v>
      </c>
      <c r="K16" s="11" t="e">
        <f t="shared" si="15"/>
        <v>#VALUE!</v>
      </c>
      <c r="L16" s="11" t="e">
        <f t="shared" si="16"/>
        <v>#VALUE!</v>
      </c>
      <c r="M16" s="1">
        <f>RTD("rit2.rtd",,"RTM1P48","POSITION")</f>
        <v>0</v>
      </c>
      <c r="N16" s="7" t="s">
        <v>53</v>
      </c>
      <c r="O16" s="25"/>
      <c r="P16" s="17" t="s">
        <v>59</v>
      </c>
      <c r="Q16" s="1">
        <f>RTD("rit2.rtd",,"RTM2P48","BID")</f>
        <v>0.08</v>
      </c>
      <c r="R16" s="1">
        <f>RTD("rit2.rtd",,"RTM2P48","ASK")</f>
        <v>0.1</v>
      </c>
      <c r="S16" s="1">
        <f t="shared" si="13"/>
        <v>0.09</v>
      </c>
      <c r="T16" s="1">
        <v>48</v>
      </c>
      <c r="U16" s="1" t="s">
        <v>14</v>
      </c>
      <c r="V16" s="1">
        <f t="shared" si="7"/>
        <v>0.1395941081037089</v>
      </c>
      <c r="W16" s="1">
        <f t="shared" si="8"/>
        <v>-0.14497692352283945</v>
      </c>
      <c r="X16" s="1">
        <f t="shared" si="9"/>
        <v>0</v>
      </c>
      <c r="Y16" s="1">
        <f>RTD("rit2.rtd",,"RTM2P48","POSITION")</f>
        <v>0</v>
      </c>
      <c r="Z16" s="11">
        <f t="shared" si="10"/>
        <v>2.0340171329219781E-3</v>
      </c>
      <c r="AA16" s="12">
        <f t="shared" si="11"/>
        <v>-4.956002826219294E-2</v>
      </c>
    </row>
    <row r="17" spans="1:27">
      <c r="A17" s="9" t="s">
        <v>26</v>
      </c>
      <c r="B17" s="15">
        <v>750</v>
      </c>
      <c r="C17" s="1">
        <f>RTD("rit2.rtd",,"RTM1P49","BID")</f>
        <v>0</v>
      </c>
      <c r="D17" s="1">
        <f>RTD("rit2.rtd",,"RTM1P49","ASK")</f>
        <v>0</v>
      </c>
      <c r="E17" s="1">
        <f t="shared" si="12"/>
        <v>0</v>
      </c>
      <c r="F17" s="1">
        <v>49</v>
      </c>
      <c r="G17" s="1" t="s">
        <v>14</v>
      </c>
      <c r="H17" s="1" t="e">
        <f t="shared" si="1"/>
        <v>#VALUE!</v>
      </c>
      <c r="I17" s="1" t="e">
        <f t="shared" si="2"/>
        <v>#VALUE!</v>
      </c>
      <c r="J17" s="1" t="e">
        <f t="shared" si="14"/>
        <v>#VALUE!</v>
      </c>
      <c r="K17" s="11" t="e">
        <f t="shared" si="15"/>
        <v>#VALUE!</v>
      </c>
      <c r="L17" s="11" t="e">
        <f t="shared" si="16"/>
        <v>#VALUE!</v>
      </c>
      <c r="M17" s="1">
        <f>RTD("rit2.rtd",,"RTM1P49","POSITION")</f>
        <v>0</v>
      </c>
      <c r="N17" s="7" t="s">
        <v>54</v>
      </c>
      <c r="O17" s="25"/>
      <c r="P17" s="17" t="s">
        <v>60</v>
      </c>
      <c r="Q17" s="1">
        <f>RTD("rit2.rtd",,"RTM2P49","BID")</f>
        <v>0.27</v>
      </c>
      <c r="R17" s="1">
        <f>RTD("rit2.rtd",,"RTM2P49","ASK")</f>
        <v>0.28999999999999998</v>
      </c>
      <c r="S17" s="1">
        <f t="shared" si="13"/>
        <v>0.28000000000000003</v>
      </c>
      <c r="T17" s="1">
        <v>49</v>
      </c>
      <c r="U17" s="1" t="s">
        <v>14</v>
      </c>
      <c r="V17" s="1">
        <f t="shared" si="7"/>
        <v>0.13694189679900684</v>
      </c>
      <c r="W17" s="1">
        <f t="shared" si="8"/>
        <v>-0.30846817077619676</v>
      </c>
      <c r="X17" s="1">
        <f t="shared" si="9"/>
        <v>0</v>
      </c>
      <c r="Y17" s="1">
        <f>RTD("rit2.rtd",,"RTM2P49","POSITION")</f>
        <v>0</v>
      </c>
      <c r="Z17" s="11">
        <f t="shared" si="10"/>
        <v>-6.7377047574848081E-3</v>
      </c>
      <c r="AA17" s="12">
        <f t="shared" si="11"/>
        <v>-9.1703847355659507E-2</v>
      </c>
    </row>
    <row r="18" spans="1:27">
      <c r="B18" s="6"/>
      <c r="C18" s="1">
        <f>RTD("rit2.rtd",,"RTM1P50","BID")</f>
        <v>0</v>
      </c>
      <c r="D18" s="1">
        <f>RTD("rit2.rtd",,"RTM1P50","ASK")</f>
        <v>0</v>
      </c>
      <c r="E18" s="1">
        <f t="shared" si="12"/>
        <v>0</v>
      </c>
      <c r="F18" s="1">
        <v>50</v>
      </c>
      <c r="G18" s="1" t="s">
        <v>14</v>
      </c>
      <c r="H18" s="1" t="e">
        <f t="shared" si="1"/>
        <v>#VALUE!</v>
      </c>
      <c r="I18" s="1" t="e">
        <f t="shared" si="2"/>
        <v>#VALUE!</v>
      </c>
      <c r="J18" s="1" t="e">
        <f t="shared" si="14"/>
        <v>#VALUE!</v>
      </c>
      <c r="K18" s="11" t="e">
        <f t="shared" si="15"/>
        <v>#VALUE!</v>
      </c>
      <c r="L18" s="11" t="e">
        <f t="shared" si="16"/>
        <v>#VALUE!</v>
      </c>
      <c r="M18" s="1">
        <f>RTD("rit2.rtd",,"RTM1P50","POSITION")</f>
        <v>0</v>
      </c>
      <c r="N18" s="7" t="s">
        <v>55</v>
      </c>
      <c r="O18" s="25"/>
      <c r="P18" s="17" t="s">
        <v>61</v>
      </c>
      <c r="Q18" s="1">
        <f>RTD("rit2.rtd",,"RTM2P50","BID")</f>
        <v>0.68</v>
      </c>
      <c r="R18" s="1">
        <f>RTD("rit2.rtd",,"RTM2P50","ASK")</f>
        <v>0.7</v>
      </c>
      <c r="S18" s="1">
        <f t="shared" si="13"/>
        <v>0.69</v>
      </c>
      <c r="T18" s="1">
        <v>50</v>
      </c>
      <c r="U18" s="1" t="s">
        <v>14</v>
      </c>
      <c r="V18" s="1">
        <f t="shared" si="7"/>
        <v>0.13653438814866939</v>
      </c>
      <c r="W18" s="1">
        <f t="shared" si="8"/>
        <v>-0.51856595695163143</v>
      </c>
      <c r="X18" s="1">
        <f t="shared" si="9"/>
        <v>0</v>
      </c>
      <c r="Y18" s="1">
        <f>RTD("rit2.rtd",,"RTM2P50","POSITION")</f>
        <v>0</v>
      </c>
      <c r="Z18" s="11">
        <f t="shared" si="10"/>
        <v>-9.8051181388654207E-3</v>
      </c>
      <c r="AA18" s="12">
        <f t="shared" si="11"/>
        <v>-0.10768362106126039</v>
      </c>
    </row>
    <row r="19" spans="1:27">
      <c r="B19" s="6"/>
      <c r="C19" s="1">
        <f>RTD("rit2.rtd",,"RTM1P51","BID")</f>
        <v>0</v>
      </c>
      <c r="D19" s="1">
        <f>RTD("rit2.rtd",,"RTM1P51","ASK")</f>
        <v>0</v>
      </c>
      <c r="E19" s="1">
        <f t="shared" si="12"/>
        <v>0</v>
      </c>
      <c r="F19" s="1">
        <v>51</v>
      </c>
      <c r="G19" s="1" t="s">
        <v>14</v>
      </c>
      <c r="H19" s="1" t="e">
        <f t="shared" si="1"/>
        <v>#VALUE!</v>
      </c>
      <c r="I19" s="1" t="e">
        <f t="shared" si="2"/>
        <v>#VALUE!</v>
      </c>
      <c r="J19" s="1" t="e">
        <f t="shared" si="14"/>
        <v>#VALUE!</v>
      </c>
      <c r="K19" s="11" t="e">
        <f t="shared" si="15"/>
        <v>#VALUE!</v>
      </c>
      <c r="L19" s="11" t="e">
        <f t="shared" si="16"/>
        <v>#VALUE!</v>
      </c>
      <c r="M19" s="1">
        <f>RTD("rit2.rtd",,"RTM1P51","POSITION")</f>
        <v>0</v>
      </c>
      <c r="N19" s="7" t="s">
        <v>56</v>
      </c>
      <c r="O19" s="25"/>
      <c r="P19" s="17" t="s">
        <v>62</v>
      </c>
      <c r="Q19" s="1">
        <f>RTD("rit2.rtd",,"RTM2P51","BID")</f>
        <v>1.34</v>
      </c>
      <c r="R19" s="1">
        <f>RTD("rit2.rtd",,"RTM2P51","ASK")</f>
        <v>1.36</v>
      </c>
      <c r="S19" s="1">
        <f t="shared" si="13"/>
        <v>1.35</v>
      </c>
      <c r="T19" s="1">
        <v>51</v>
      </c>
      <c r="U19" s="1" t="s">
        <v>14</v>
      </c>
      <c r="V19" s="1">
        <f t="shared" si="7"/>
        <v>0.13774952532361542</v>
      </c>
      <c r="W19" s="1">
        <f t="shared" si="8"/>
        <v>-0.71987798757812915</v>
      </c>
      <c r="X19" s="1">
        <f t="shared" si="9"/>
        <v>0</v>
      </c>
      <c r="Y19" s="1">
        <f>RTD("rit2.rtd",,"RTM2P51","POSITION")</f>
        <v>0</v>
      </c>
      <c r="Z19" s="11">
        <f t="shared" si="10"/>
        <v>-3.3641500906127497E-3</v>
      </c>
      <c r="AA19" s="12">
        <f t="shared" si="11"/>
        <v>-8.3832997530203013E-2</v>
      </c>
    </row>
    <row r="20" spans="1:27">
      <c r="A20" s="9"/>
      <c r="B20" s="6"/>
      <c r="C20" s="1">
        <f>RTD("rit2.rtd",,"RTM1P52","BID")</f>
        <v>0</v>
      </c>
      <c r="D20" s="1">
        <f>RTD("rit2.rtd",,"RTM1P52","ASK")</f>
        <v>0</v>
      </c>
      <c r="E20" s="1">
        <f t="shared" si="12"/>
        <v>0</v>
      </c>
      <c r="F20" s="1">
        <v>52</v>
      </c>
      <c r="G20" s="1" t="s">
        <v>14</v>
      </c>
      <c r="H20" s="1" t="e">
        <f t="shared" si="1"/>
        <v>#VALUE!</v>
      </c>
      <c r="I20" s="1" t="e">
        <f t="shared" si="2"/>
        <v>#VALUE!</v>
      </c>
      <c r="J20" s="1" t="e">
        <f t="shared" si="14"/>
        <v>#VALUE!</v>
      </c>
      <c r="K20" s="11" t="e">
        <f t="shared" si="15"/>
        <v>#VALUE!</v>
      </c>
      <c r="L20" s="11" t="e">
        <f t="shared" si="16"/>
        <v>#VALUE!</v>
      </c>
      <c r="M20" s="1">
        <f>RTD("rit2.rtd",,"RTM1P52","POSITION")</f>
        <v>0</v>
      </c>
      <c r="N20" s="7" t="s">
        <v>67</v>
      </c>
      <c r="O20" s="25"/>
      <c r="P20" s="17" t="s">
        <v>63</v>
      </c>
      <c r="Q20" s="1">
        <f>RTD("rit2.rtd",,"RTM2P52","BID")</f>
        <v>2.1800000000000002</v>
      </c>
      <c r="R20" s="1">
        <f>RTD("rit2.rtd",,"RTM2P52","ASK")</f>
        <v>2.2000000000000002</v>
      </c>
      <c r="S20" s="1">
        <f t="shared" si="13"/>
        <v>2.1900000000000004</v>
      </c>
      <c r="T20" s="1">
        <v>52</v>
      </c>
      <c r="U20" s="1" t="s">
        <v>14</v>
      </c>
      <c r="V20" s="1">
        <f t="shared" si="7"/>
        <v>0.13651411392287471</v>
      </c>
      <c r="W20" s="1">
        <f t="shared" si="8"/>
        <v>-0.86606832540447831</v>
      </c>
      <c r="X20" s="1">
        <f t="shared" si="9"/>
        <v>0</v>
      </c>
      <c r="Y20" s="1">
        <f>RTD("rit2.rtd",,"RTM2P52","POSITION")</f>
        <v>0</v>
      </c>
      <c r="Z20" s="11">
        <f t="shared" si="10"/>
        <v>-4.292422121648265E-3</v>
      </c>
      <c r="AA20" s="12">
        <f t="shared" si="11"/>
        <v>-5.2501560100691513E-2</v>
      </c>
    </row>
    <row r="21" spans="1:27">
      <c r="A21" t="s">
        <v>25</v>
      </c>
      <c r="B21" s="6">
        <v>10000</v>
      </c>
      <c r="C21" s="22">
        <f>RTD("rit2.rtd",,"RTM1P53","BID")</f>
        <v>0</v>
      </c>
      <c r="D21" s="22">
        <f>RTD("rit2.rtd",,"RTM1P53","ASK")</f>
        <v>0</v>
      </c>
      <c r="E21" s="22">
        <f t="shared" si="12"/>
        <v>0</v>
      </c>
      <c r="F21" s="22">
        <v>53</v>
      </c>
      <c r="G21" s="22" t="s">
        <v>14</v>
      </c>
      <c r="H21" s="22" t="e">
        <f t="shared" si="1"/>
        <v>#VALUE!</v>
      </c>
      <c r="I21" s="22" t="e">
        <f t="shared" si="2"/>
        <v>#VALUE!</v>
      </c>
      <c r="J21" s="22" t="e">
        <f t="shared" si="14"/>
        <v>#VALUE!</v>
      </c>
      <c r="K21" s="11" t="e">
        <f t="shared" si="15"/>
        <v>#VALUE!</v>
      </c>
      <c r="L21" s="11" t="e">
        <f t="shared" si="16"/>
        <v>#VALUE!</v>
      </c>
      <c r="M21" s="1">
        <f>RTD("rit2.rtd",,"RTM1P53","POSITION")</f>
        <v>0</v>
      </c>
      <c r="N21" s="7" t="s">
        <v>68</v>
      </c>
      <c r="O21" s="26"/>
      <c r="P21" s="17" t="s">
        <v>64</v>
      </c>
      <c r="Q21" s="1">
        <f>RTD("rit2.rtd",,"RTM2P53","BID")</f>
        <v>3.13</v>
      </c>
      <c r="R21" s="1">
        <f>RTD("rit2.rtd",,"RTM2P53","ASK")</f>
        <v>3.15</v>
      </c>
      <c r="S21" s="1">
        <f>AVERAGE(Q21:R21)</f>
        <v>3.1399999999999997</v>
      </c>
      <c r="T21" s="1">
        <v>53</v>
      </c>
      <c r="U21" s="1" t="s">
        <v>14</v>
      </c>
      <c r="V21" s="1">
        <f t="shared" si="7"/>
        <v>0.14058497180646207</v>
      </c>
      <c r="W21" s="1">
        <f t="shared" si="8"/>
        <v>-0.94775907586016528</v>
      </c>
      <c r="X21" s="1">
        <f t="shared" si="9"/>
        <v>0</v>
      </c>
      <c r="Y21" s="1">
        <f>RTD("rit2.rtd",,"RTM2P53","POSITION")</f>
        <v>0</v>
      </c>
      <c r="Z21" s="11">
        <f t="shared" si="10"/>
        <v>1.5389780510650652E-3</v>
      </c>
      <c r="AA21" s="12">
        <f t="shared" si="11"/>
        <v>-1.996244973463579E-2</v>
      </c>
    </row>
    <row r="22" spans="1:27" ht="15" thickBot="1">
      <c r="A22" t="s">
        <v>24</v>
      </c>
      <c r="B22" s="6">
        <v>100</v>
      </c>
      <c r="C22" s="24">
        <f>RTD("rit2.rtd",,"RTM1P54","BID")</f>
        <v>0</v>
      </c>
      <c r="D22" s="4">
        <f>RTD("rit2.rtd",,"RTM1P54","ASK")</f>
        <v>0</v>
      </c>
      <c r="E22" s="4">
        <f>AVERAGE(C22:D22)</f>
        <v>0</v>
      </c>
      <c r="F22" s="4">
        <v>54</v>
      </c>
      <c r="G22" s="4" t="s">
        <v>14</v>
      </c>
      <c r="H22" s="4" t="e">
        <f>BSImpVol($G22,$E22,$B$6,$F22,$B$1,$B$3)</f>
        <v>#VALUE!</v>
      </c>
      <c r="I22" s="4" t="e">
        <f>BSDelta($G22,$B$6,$F22,$B$1,$B$5,$B$3)</f>
        <v>#VALUE!</v>
      </c>
      <c r="J22" s="4" t="e">
        <f t="shared" si="14"/>
        <v>#VALUE!</v>
      </c>
      <c r="K22" s="13" t="e">
        <f t="shared" si="15"/>
        <v>#VALUE!</v>
      </c>
      <c r="L22" s="13" t="e">
        <f t="shared" si="16"/>
        <v>#VALUE!</v>
      </c>
      <c r="M22" s="4">
        <f>RTD("rit2.rtd",,"RTM1P54","POSITION")</f>
        <v>0</v>
      </c>
      <c r="N22" s="19" t="s">
        <v>69</v>
      </c>
      <c r="O22" s="28"/>
      <c r="P22" s="18" t="s">
        <v>65</v>
      </c>
      <c r="Q22" s="4">
        <f>RTD("rit2.rtd",,"RTM2P54","BID")</f>
        <v>4.12</v>
      </c>
      <c r="R22" s="4">
        <f>RTD("rit2.rtd",,"RTM2P54","ASK")</f>
        <v>4.1399999999999997</v>
      </c>
      <c r="S22" s="4">
        <f>AVERAGE(Q22:R22)</f>
        <v>4.13</v>
      </c>
      <c r="T22" s="4">
        <v>54</v>
      </c>
      <c r="U22" s="4" t="s">
        <v>14</v>
      </c>
      <c r="V22" s="4">
        <f t="shared" si="7"/>
        <v>0.15815137725034287</v>
      </c>
      <c r="W22" s="4">
        <f t="shared" si="8"/>
        <v>-0.98338833660777791</v>
      </c>
      <c r="X22" s="4">
        <f t="shared" si="9"/>
        <v>0</v>
      </c>
      <c r="Y22" s="4">
        <f>RTD("rit2.rtd",,"RTM2P54","POSITION")</f>
        <v>0</v>
      </c>
      <c r="Z22" s="13">
        <f t="shared" si="10"/>
        <v>6.4372821552867165E-3</v>
      </c>
      <c r="AA22" s="14">
        <f t="shared" si="11"/>
        <v>-8.5690679464800468E-4</v>
      </c>
    </row>
    <row r="23" spans="1:27">
      <c r="A23" t="s">
        <v>85</v>
      </c>
      <c r="B23">
        <f>_xlfn.AGGREGATE(9,6,J3:J22)+_xlfn.AGGREGATE(9,6,X3:X22)</f>
        <v>0</v>
      </c>
    </row>
  </sheetData>
  <phoneticPr fontId="1"/>
  <conditionalFormatting sqref="K3:L22 Z3:AA22">
    <cfRule type="colorScale" priority="24">
      <colorScale>
        <cfvo type="num" val="-0.25"/>
        <cfvo type="num" val="0"/>
        <cfvo type="num" val="0.25"/>
        <color rgb="FF63BE7B"/>
        <color rgb="FFFFEB84"/>
        <color rgb="FFF8696B"/>
      </colorScale>
    </cfRule>
  </conditionalFormatting>
  <conditionalFormatting sqref="M2:M22">
    <cfRule type="colorScale" priority="276">
      <colorScale>
        <cfvo type="num" val="-0.1"/>
        <cfvo type="num" val="0"/>
        <cfvo type="num" val="0.1"/>
        <color rgb="FFF8696B"/>
        <color theme="0"/>
        <color rgb="FF63BE7B"/>
      </colorScale>
    </cfRule>
    <cfRule type="colorScale" priority="277">
      <colorScale>
        <cfvo type="min"/>
        <cfvo type="num" val="0"/>
        <cfvo type="max"/>
        <color rgb="FFF8696B"/>
        <color theme="0"/>
        <color rgb="FF63BE7B"/>
      </colorScale>
    </cfRule>
    <cfRule type="colorScale" priority="278">
      <colorScale>
        <cfvo type="num" val="0"/>
        <cfvo type="percentile" val="50"/>
        <cfvo type="num" val="0"/>
        <color rgb="FFF8696B"/>
        <color rgb="FFFFEB84"/>
        <color rgb="FF63BE7B"/>
      </colorScale>
    </cfRule>
    <cfRule type="colorScale" priority="279">
      <colorScale>
        <cfvo type="min"/>
        <cfvo type="num" val="0"/>
        <cfvo type="max"/>
        <color rgb="FF00B050"/>
        <color theme="0"/>
        <color rgb="FFFF0000"/>
      </colorScale>
    </cfRule>
    <cfRule type="colorScale" priority="28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3:Z22">
    <cfRule type="colorScale" priority="286">
      <colorScale>
        <cfvo type="num" val="-0.02"/>
        <cfvo type="num" val="0"/>
        <cfvo type="num" val="0.02"/>
        <color rgb="FF63BE7B"/>
        <color rgb="FFFFEB84"/>
        <color rgb="FFF8696B"/>
      </colorScale>
    </cfRule>
    <cfRule type="colorScale" priority="287">
      <colorScale>
        <cfvo type="num" val="-0.05"/>
        <cfvo type="num" val="0"/>
        <cfvo type="num" val="0.05"/>
        <color rgb="FF63BE7B"/>
        <color rgb="FFFFEB84"/>
        <color rgb="FFF8696B"/>
      </colorScale>
    </cfRule>
    <cfRule type="colorScale" priority="288">
      <colorScale>
        <cfvo type="min"/>
        <cfvo type="num" val="0"/>
        <cfvo type="max"/>
        <color rgb="FF92D050"/>
        <color rgb="FFFFEB84"/>
        <color rgb="FFFF0000"/>
      </colorScale>
    </cfRule>
    <cfRule type="colorScale" priority="289">
      <colorScale>
        <cfvo type="num" val="-1"/>
        <cfvo type="num" val="0"/>
        <cfvo type="num" val="1"/>
        <color rgb="FF92D050"/>
        <color rgb="FFFFEB84"/>
        <color rgb="FFFF0000"/>
      </colorScale>
    </cfRule>
    <cfRule type="colorScale" priority="2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AA3:AA22">
    <cfRule type="colorScale" priority="296">
      <colorScale>
        <cfvo type="min"/>
        <cfvo type="num" val="0"/>
        <cfvo type="max"/>
        <color rgb="FF63BE7B"/>
        <color rgb="FFFFEB84"/>
        <color rgb="FFF8696B"/>
      </colorScale>
    </cfRule>
  </conditionalFormatting>
  <conditionalFormatting sqref="Y3:Y22">
    <cfRule type="colorScale" priority="298">
      <colorScale>
        <cfvo type="num" val="-0.1"/>
        <cfvo type="num" val="0"/>
        <cfvo type="num" val="0.1"/>
        <color rgb="FFF8696B"/>
        <color theme="0"/>
        <color rgb="FF63BE7B"/>
      </colorScale>
    </cfRule>
    <cfRule type="colorScale" priority="299">
      <colorScale>
        <cfvo type="min"/>
        <cfvo type="num" val="0"/>
        <cfvo type="max"/>
        <color rgb="FFF8696B"/>
        <color theme="0"/>
        <color rgb="FF63BE7B"/>
      </colorScale>
    </cfRule>
    <cfRule type="colorScale" priority="300">
      <colorScale>
        <cfvo type="num" val="0"/>
        <cfvo type="percentile" val="50"/>
        <cfvo type="num" val="0"/>
        <color rgb="FFF8696B"/>
        <color rgb="FFFFEB84"/>
        <color rgb="FF63BE7B"/>
      </colorScale>
    </cfRule>
    <cfRule type="colorScale" priority="301">
      <colorScale>
        <cfvo type="min"/>
        <cfvo type="num" val="0"/>
        <cfvo type="max"/>
        <color rgb="FF00B050"/>
        <color theme="0"/>
        <color rgb="FFFF0000"/>
      </colorScale>
    </cfRule>
    <cfRule type="colorScale" priority="3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13">
    <cfRule type="cellIs" dxfId="6" priority="8" operator="lessThan">
      <formula>20</formula>
    </cfRule>
  </conditionalFormatting>
  <conditionalFormatting sqref="B12">
    <cfRule type="cellIs" dxfId="5" priority="1" operator="lessThan">
      <formula>-0.8*$B$2</formula>
    </cfRule>
    <cfRule type="cellIs" dxfId="4" priority="2" operator="greaterThan">
      <formula>"0.8*$B$2"</formula>
    </cfRule>
    <cfRule type="cellIs" dxfId="3" priority="3" operator="lessThan">
      <formula>-$B$2</formula>
    </cfRule>
    <cfRule type="cellIs" dxfId="2" priority="4" operator="greaterThan">
      <formula>$B$2</formula>
    </cfRule>
    <cfRule type="cellIs" dxfId="1" priority="6" operator="greaterThan">
      <formula>$B$2</formula>
    </cfRule>
    <cfRule type="cellIs" dxfId="0" priority="7" operator="greaterThan">
      <formula>"0.8*INT($B$2)"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ng_straddle">
                <anchor moveWithCells="1" sizeWithCells="1">
                  <from>
                    <xdr:col>0</xdr:col>
                    <xdr:colOff>0</xdr:colOff>
                    <xdr:row>13</xdr:row>
                    <xdr:rowOff>7620</xdr:rowOff>
                  </from>
                  <to>
                    <xdr:col>1</xdr:col>
                    <xdr:colOff>7620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position">
                <anchor moveWithCells="1" sizeWithCells="1">
                  <from>
                    <xdr:col>0</xdr:col>
                    <xdr:colOff>0</xdr:colOff>
                    <xdr:row>17</xdr:row>
                    <xdr:rowOff>182880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rt_straddle">
                <anchor moveWithCells="1" sizeWithCells="1">
                  <from>
                    <xdr:col>1</xdr:col>
                    <xdr:colOff>22860</xdr:colOff>
                    <xdr:row>13</xdr:row>
                    <xdr:rowOff>22860</xdr:rowOff>
                  </from>
                  <to>
                    <xdr:col>1</xdr:col>
                    <xdr:colOff>1226820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it">
                <anchor moveWithCells="1" sizeWithCells="1">
                  <from>
                    <xdr:col>1</xdr:col>
                    <xdr:colOff>7620</xdr:colOff>
                    <xdr:row>18</xdr:row>
                    <xdr:rowOff>7620</xdr:rowOff>
                  </from>
                  <to>
                    <xdr:col>1</xdr:col>
                    <xdr:colOff>1226820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uy_1C45">
                <anchor moveWithCells="1" sizeWithCells="1">
                  <from>
                    <xdr:col>13</xdr:col>
                    <xdr:colOff>609600</xdr:colOff>
                    <xdr:row>2</xdr:row>
                    <xdr:rowOff>0</xdr:rowOff>
                  </from>
                  <to>
                    <xdr:col>13</xdr:col>
                    <xdr:colOff>861060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ll_1C45">
                <anchor moveWithCells="1" sizeWithCells="1">
                  <from>
                    <xdr:col>13</xdr:col>
                    <xdr:colOff>861060</xdr:colOff>
                    <xdr:row>1</xdr:row>
                    <xdr:rowOff>190500</xdr:rowOff>
                  </from>
                  <to>
                    <xdr:col>13</xdr:col>
                    <xdr:colOff>1104900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acros.buy_2C45">
                <anchor moveWithCells="1" sizeWithCells="1">
                  <from>
                    <xdr:col>15</xdr:col>
                    <xdr:colOff>7620</xdr:colOff>
                    <xdr:row>2</xdr:row>
                    <xdr:rowOff>0</xdr:rowOff>
                  </from>
                  <to>
                    <xdr:col>15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sell_2C45">
                <anchor moveWithCells="1" sizeWithCells="1">
                  <from>
                    <xdr:col>15</xdr:col>
                    <xdr:colOff>259080</xdr:colOff>
                    <xdr:row>2</xdr:row>
                    <xdr:rowOff>0</xdr:rowOff>
                  </from>
                  <to>
                    <xdr:col>15</xdr:col>
                    <xdr:colOff>502920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buy_1P45">
                <anchor moveWithCells="1" sizeWithCells="1">
                  <from>
                    <xdr:col>13</xdr:col>
                    <xdr:colOff>609600</xdr:colOff>
                    <xdr:row>12</xdr:row>
                    <xdr:rowOff>0</xdr:rowOff>
                  </from>
                  <to>
                    <xdr:col>13</xdr:col>
                    <xdr:colOff>861060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buy_1C46">
                <anchor moveWithCells="1" sizeWithCells="1">
                  <from>
                    <xdr:col>13</xdr:col>
                    <xdr:colOff>609600</xdr:colOff>
                    <xdr:row>3</xdr:row>
                    <xdr:rowOff>0</xdr:rowOff>
                  </from>
                  <to>
                    <xdr:col>13</xdr:col>
                    <xdr:colOff>861060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buy_1P46">
                <anchor moveWithCells="1" sizeWithCells="1">
                  <from>
                    <xdr:col>13</xdr:col>
                    <xdr:colOff>609600</xdr:colOff>
                    <xdr:row>13</xdr:row>
                    <xdr:rowOff>0</xdr:rowOff>
                  </from>
                  <to>
                    <xdr:col>13</xdr:col>
                    <xdr:colOff>861060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buy_1C47">
                <anchor moveWithCells="1" sizeWithCells="1">
                  <from>
                    <xdr:col>13</xdr:col>
                    <xdr:colOff>609600</xdr:colOff>
                    <xdr:row>4</xdr:row>
                    <xdr:rowOff>0</xdr:rowOff>
                  </from>
                  <to>
                    <xdr:col>13</xdr:col>
                    <xdr:colOff>861060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buy_1P47">
                <anchor moveWithCells="1" sizeWithCells="1">
                  <from>
                    <xdr:col>13</xdr:col>
                    <xdr:colOff>609600</xdr:colOff>
                    <xdr:row>14</xdr:row>
                    <xdr:rowOff>0</xdr:rowOff>
                  </from>
                  <to>
                    <xdr:col>13</xdr:col>
                    <xdr:colOff>861060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Macros.buy_1C48">
                <anchor moveWithCells="1" sizeWithCells="1">
                  <from>
                    <xdr:col>13</xdr:col>
                    <xdr:colOff>609600</xdr:colOff>
                    <xdr:row>5</xdr:row>
                    <xdr:rowOff>0</xdr:rowOff>
                  </from>
                  <to>
                    <xdr:col>13</xdr:col>
                    <xdr:colOff>861060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Macros.buy_1P48">
                <anchor moveWithCells="1" sizeWithCells="1">
                  <from>
                    <xdr:col>13</xdr:col>
                    <xdr:colOff>609600</xdr:colOff>
                    <xdr:row>15</xdr:row>
                    <xdr:rowOff>0</xdr:rowOff>
                  </from>
                  <to>
                    <xdr:col>13</xdr:col>
                    <xdr:colOff>861060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Macros.buy_1C49">
                <anchor moveWithCells="1" sizeWithCells="1">
                  <from>
                    <xdr:col>13</xdr:col>
                    <xdr:colOff>609600</xdr:colOff>
                    <xdr:row>6</xdr:row>
                    <xdr:rowOff>0</xdr:rowOff>
                  </from>
                  <to>
                    <xdr:col>13</xdr:col>
                    <xdr:colOff>861060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Macros.buy_1P49">
                <anchor moveWithCells="1" sizeWithCells="1">
                  <from>
                    <xdr:col>13</xdr:col>
                    <xdr:colOff>609600</xdr:colOff>
                    <xdr:row>16</xdr:row>
                    <xdr:rowOff>0</xdr:rowOff>
                  </from>
                  <to>
                    <xdr:col>13</xdr:col>
                    <xdr:colOff>861060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Macros.buy_1C50">
                <anchor moveWithCells="1" sizeWithCells="1">
                  <from>
                    <xdr:col>13</xdr:col>
                    <xdr:colOff>609600</xdr:colOff>
                    <xdr:row>7</xdr:row>
                    <xdr:rowOff>0</xdr:rowOff>
                  </from>
                  <to>
                    <xdr:col>13</xdr:col>
                    <xdr:colOff>861060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Macros.buy_1P50">
                <anchor moveWithCells="1" sizeWithCells="1">
                  <from>
                    <xdr:col>13</xdr:col>
                    <xdr:colOff>609600</xdr:colOff>
                    <xdr:row>17</xdr:row>
                    <xdr:rowOff>0</xdr:rowOff>
                  </from>
                  <to>
                    <xdr:col>13</xdr:col>
                    <xdr:colOff>861060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Macros.buy_1C51">
                <anchor moveWithCells="1" sizeWithCells="1">
                  <from>
                    <xdr:col>13</xdr:col>
                    <xdr:colOff>609600</xdr:colOff>
                    <xdr:row>8</xdr:row>
                    <xdr:rowOff>0</xdr:rowOff>
                  </from>
                  <to>
                    <xdr:col>13</xdr:col>
                    <xdr:colOff>861060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Macros.buy_1P51">
                <anchor moveWithCells="1" sizeWithCells="1">
                  <from>
                    <xdr:col>13</xdr:col>
                    <xdr:colOff>609600</xdr:colOff>
                    <xdr:row>18</xdr:row>
                    <xdr:rowOff>0</xdr:rowOff>
                  </from>
                  <to>
                    <xdr:col>13</xdr:col>
                    <xdr:colOff>861060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Macros.buy_1C52">
                <anchor moveWithCells="1" sizeWithCells="1">
                  <from>
                    <xdr:col>13</xdr:col>
                    <xdr:colOff>609600</xdr:colOff>
                    <xdr:row>9</xdr:row>
                    <xdr:rowOff>0</xdr:rowOff>
                  </from>
                  <to>
                    <xdr:col>13</xdr:col>
                    <xdr:colOff>861060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Macros.buy_1P52">
                <anchor moveWithCells="1" sizeWithCells="1">
                  <from>
                    <xdr:col>13</xdr:col>
                    <xdr:colOff>609600</xdr:colOff>
                    <xdr:row>19</xdr:row>
                    <xdr:rowOff>0</xdr:rowOff>
                  </from>
                  <to>
                    <xdr:col>13</xdr:col>
                    <xdr:colOff>861060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Macros.buy_1C53">
                <anchor moveWithCells="1" sizeWithCells="1">
                  <from>
                    <xdr:col>13</xdr:col>
                    <xdr:colOff>609600</xdr:colOff>
                    <xdr:row>10</xdr:row>
                    <xdr:rowOff>0</xdr:rowOff>
                  </from>
                  <to>
                    <xdr:col>13</xdr:col>
                    <xdr:colOff>861060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Macros.buy_1P53">
                <anchor moveWithCells="1" sizeWithCells="1">
                  <from>
                    <xdr:col>13</xdr:col>
                    <xdr:colOff>609600</xdr:colOff>
                    <xdr:row>20</xdr:row>
                    <xdr:rowOff>0</xdr:rowOff>
                  </from>
                  <to>
                    <xdr:col>13</xdr:col>
                    <xdr:colOff>861060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Macros.buy_1C54">
                <anchor moveWithCells="1" sizeWithCells="1">
                  <from>
                    <xdr:col>13</xdr:col>
                    <xdr:colOff>609600</xdr:colOff>
                    <xdr:row>11</xdr:row>
                    <xdr:rowOff>0</xdr:rowOff>
                  </from>
                  <to>
                    <xdr:col>13</xdr:col>
                    <xdr:colOff>861060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Macros.buy_1P54">
                <anchor moveWithCells="1" sizeWithCells="1">
                  <from>
                    <xdr:col>13</xdr:col>
                    <xdr:colOff>609600</xdr:colOff>
                    <xdr:row>21</xdr:row>
                    <xdr:rowOff>0</xdr:rowOff>
                  </from>
                  <to>
                    <xdr:col>13</xdr:col>
                    <xdr:colOff>861060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Macros.buy_2P45">
                <anchor moveWithCells="1" sizeWithCells="1">
                  <from>
                    <xdr:col>15</xdr:col>
                    <xdr:colOff>7620</xdr:colOff>
                    <xdr:row>12</xdr:row>
                    <xdr:rowOff>0</xdr:rowOff>
                  </from>
                  <to>
                    <xdr:col>15</xdr:col>
                    <xdr:colOff>259080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Macros.buy_2C46">
                <anchor moveWithCells="1" sizeWithCells="1">
                  <from>
                    <xdr:col>15</xdr:col>
                    <xdr:colOff>7620</xdr:colOff>
                    <xdr:row>3</xdr:row>
                    <xdr:rowOff>0</xdr:rowOff>
                  </from>
                  <to>
                    <xdr:col>15</xdr:col>
                    <xdr:colOff>259080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Macros.buy_2P46">
                <anchor moveWithCells="1" sizeWithCells="1">
                  <from>
                    <xdr:col>15</xdr:col>
                    <xdr:colOff>7620</xdr:colOff>
                    <xdr:row>13</xdr:row>
                    <xdr:rowOff>0</xdr:rowOff>
                  </from>
                  <to>
                    <xdr:col>15</xdr:col>
                    <xdr:colOff>259080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Macros.buy_2C47">
                <anchor moveWithCells="1" sizeWithCells="1">
                  <from>
                    <xdr:col>15</xdr:col>
                    <xdr:colOff>7620</xdr:colOff>
                    <xdr:row>4</xdr:row>
                    <xdr:rowOff>0</xdr:rowOff>
                  </from>
                  <to>
                    <xdr:col>15</xdr:col>
                    <xdr:colOff>259080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Macros.buy_2P47">
                <anchor moveWithCells="1" sizeWithCells="1">
                  <from>
                    <xdr:col>15</xdr:col>
                    <xdr:colOff>7620</xdr:colOff>
                    <xdr:row>14</xdr:row>
                    <xdr:rowOff>0</xdr:rowOff>
                  </from>
                  <to>
                    <xdr:col>15</xdr:col>
                    <xdr:colOff>259080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Macros.buy_2C48">
                <anchor moveWithCells="1" sizeWithCells="1">
                  <from>
                    <xdr:col>15</xdr:col>
                    <xdr:colOff>7620</xdr:colOff>
                    <xdr:row>5</xdr:row>
                    <xdr:rowOff>0</xdr:rowOff>
                  </from>
                  <to>
                    <xdr:col>15</xdr:col>
                    <xdr:colOff>259080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Macros.buy_2P48">
                <anchor moveWithCells="1" sizeWithCells="1">
                  <from>
                    <xdr:col>15</xdr:col>
                    <xdr:colOff>7620</xdr:colOff>
                    <xdr:row>15</xdr:row>
                    <xdr:rowOff>0</xdr:rowOff>
                  </from>
                  <to>
                    <xdr:col>15</xdr:col>
                    <xdr:colOff>259080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Macros.buy_2C49">
                <anchor moveWithCells="1" sizeWithCells="1">
                  <from>
                    <xdr:col>15</xdr:col>
                    <xdr:colOff>7620</xdr:colOff>
                    <xdr:row>6</xdr:row>
                    <xdr:rowOff>0</xdr:rowOff>
                  </from>
                  <to>
                    <xdr:col>15</xdr:col>
                    <xdr:colOff>259080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Macros.buy_2P49">
                <anchor moveWithCells="1" sizeWithCells="1">
                  <from>
                    <xdr:col>15</xdr:col>
                    <xdr:colOff>7620</xdr:colOff>
                    <xdr:row>16</xdr:row>
                    <xdr:rowOff>0</xdr:rowOff>
                  </from>
                  <to>
                    <xdr:col>15</xdr:col>
                    <xdr:colOff>259080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Macros.buy_2C50">
                <anchor moveWithCells="1" sizeWithCells="1">
                  <from>
                    <xdr:col>15</xdr:col>
                    <xdr:colOff>7620</xdr:colOff>
                    <xdr:row>7</xdr:row>
                    <xdr:rowOff>0</xdr:rowOff>
                  </from>
                  <to>
                    <xdr:col>15</xdr:col>
                    <xdr:colOff>259080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Macros.buy_2P50">
                <anchor moveWithCells="1" sizeWithCells="1">
                  <from>
                    <xdr:col>15</xdr:col>
                    <xdr:colOff>7620</xdr:colOff>
                    <xdr:row>17</xdr:row>
                    <xdr:rowOff>0</xdr:rowOff>
                  </from>
                  <to>
                    <xdr:col>15</xdr:col>
                    <xdr:colOff>259080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Macros.buy_2C51">
                <anchor moveWithCells="1" sizeWithCells="1">
                  <from>
                    <xdr:col>15</xdr:col>
                    <xdr:colOff>7620</xdr:colOff>
                    <xdr:row>8</xdr:row>
                    <xdr:rowOff>0</xdr:rowOff>
                  </from>
                  <to>
                    <xdr:col>15</xdr:col>
                    <xdr:colOff>259080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Macros.buy_2P51">
                <anchor moveWithCells="1" sizeWithCells="1">
                  <from>
                    <xdr:col>15</xdr:col>
                    <xdr:colOff>7620</xdr:colOff>
                    <xdr:row>18</xdr:row>
                    <xdr:rowOff>0</xdr:rowOff>
                  </from>
                  <to>
                    <xdr:col>15</xdr:col>
                    <xdr:colOff>259080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Macros.buy_2C52">
                <anchor moveWithCells="1" sizeWithCells="1">
                  <from>
                    <xdr:col>15</xdr:col>
                    <xdr:colOff>7620</xdr:colOff>
                    <xdr:row>9</xdr:row>
                    <xdr:rowOff>0</xdr:rowOff>
                  </from>
                  <to>
                    <xdr:col>15</xdr:col>
                    <xdr:colOff>259080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Macros.buy_2P52">
                <anchor moveWithCells="1" sizeWithCells="1">
                  <from>
                    <xdr:col>15</xdr:col>
                    <xdr:colOff>7620</xdr:colOff>
                    <xdr:row>19</xdr:row>
                    <xdr:rowOff>0</xdr:rowOff>
                  </from>
                  <to>
                    <xdr:col>15</xdr:col>
                    <xdr:colOff>259080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Macros.buy_2C53">
                <anchor moveWithCells="1" sizeWithCells="1">
                  <from>
                    <xdr:col>15</xdr:col>
                    <xdr:colOff>7620</xdr:colOff>
                    <xdr:row>10</xdr:row>
                    <xdr:rowOff>0</xdr:rowOff>
                  </from>
                  <to>
                    <xdr:col>15</xdr:col>
                    <xdr:colOff>259080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Macros.buy_2P53">
                <anchor moveWithCells="1" sizeWithCells="1">
                  <from>
                    <xdr:col>15</xdr:col>
                    <xdr:colOff>7620</xdr:colOff>
                    <xdr:row>20</xdr:row>
                    <xdr:rowOff>0</xdr:rowOff>
                  </from>
                  <to>
                    <xdr:col>15</xdr:col>
                    <xdr:colOff>259080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Macros.buy_2C54">
                <anchor moveWithCells="1" sizeWithCells="1">
                  <from>
                    <xdr:col>15</xdr:col>
                    <xdr:colOff>7620</xdr:colOff>
                    <xdr:row>11</xdr:row>
                    <xdr:rowOff>0</xdr:rowOff>
                  </from>
                  <to>
                    <xdr:col>15</xdr:col>
                    <xdr:colOff>259080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Macros.buy_2P54">
                <anchor moveWithCells="1" sizeWithCells="1">
                  <from>
                    <xdr:col>15</xdr:col>
                    <xdr:colOff>7620</xdr:colOff>
                    <xdr:row>21</xdr:row>
                    <xdr:rowOff>0</xdr:rowOff>
                  </from>
                  <to>
                    <xdr:col>15</xdr:col>
                    <xdr:colOff>259080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sell_1P45">
                <anchor moveWithCells="1" sizeWithCells="1">
                  <from>
                    <xdr:col>13</xdr:col>
                    <xdr:colOff>861060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sell_1C46">
                <anchor moveWithCells="1" sizeWithCells="1">
                  <from>
                    <xdr:col>13</xdr:col>
                    <xdr:colOff>861060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sell_1P46">
                <anchor moveWithCells="1" sizeWithCells="1">
                  <from>
                    <xdr:col>13</xdr:col>
                    <xdr:colOff>861060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sell_1C47">
                <anchor moveWithCells="1" sizeWithCells="1">
                  <from>
                    <xdr:col>13</xdr:col>
                    <xdr:colOff>861060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sell_1P47">
                <anchor moveWithCells="1" sizeWithCells="1">
                  <from>
                    <xdr:col>13</xdr:col>
                    <xdr:colOff>861060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Macros.sell_1C48">
                <anchor moveWithCells="1" sizeWithCells="1">
                  <from>
                    <xdr:col>13</xdr:col>
                    <xdr:colOff>861060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Macros.sell_1P48">
                <anchor moveWithCells="1" sizeWithCells="1">
                  <from>
                    <xdr:col>13</xdr:col>
                    <xdr:colOff>861060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Macros.sell_1C49">
                <anchor moveWithCells="1" sizeWithCells="1">
                  <from>
                    <xdr:col>13</xdr:col>
                    <xdr:colOff>861060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Macros.sell_1P49">
                <anchor moveWithCells="1" sizeWithCells="1">
                  <from>
                    <xdr:col>13</xdr:col>
                    <xdr:colOff>861060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Macros.sell_1C50">
                <anchor moveWithCells="1" sizeWithCells="1">
                  <from>
                    <xdr:col>13</xdr:col>
                    <xdr:colOff>861060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Macros.sell_1P50">
                <anchor moveWithCells="1" sizeWithCells="1">
                  <from>
                    <xdr:col>13</xdr:col>
                    <xdr:colOff>861060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Macros.sell_1C51">
                <anchor moveWithCells="1" sizeWithCells="1">
                  <from>
                    <xdr:col>13</xdr:col>
                    <xdr:colOff>861060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Macros.sell_1P51">
                <anchor moveWithCells="1" sizeWithCells="1">
                  <from>
                    <xdr:col>13</xdr:col>
                    <xdr:colOff>861060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Macros.sell_1C52">
                <anchor moveWithCells="1" sizeWithCells="1">
                  <from>
                    <xdr:col>13</xdr:col>
                    <xdr:colOff>861060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Macros.sell_1P52">
                <anchor moveWithCells="1" sizeWithCells="1">
                  <from>
                    <xdr:col>13</xdr:col>
                    <xdr:colOff>861060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Macros.sell_1C53">
                <anchor moveWithCells="1" sizeWithCells="1">
                  <from>
                    <xdr:col>13</xdr:col>
                    <xdr:colOff>861060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Macros.sell_1P53">
                <anchor moveWithCells="1" sizeWithCells="1">
                  <from>
                    <xdr:col>13</xdr:col>
                    <xdr:colOff>861060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Macros.sell_1C54">
                <anchor moveWithCells="1" sizeWithCells="1">
                  <from>
                    <xdr:col>13</xdr:col>
                    <xdr:colOff>861060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Macros.sell_1P54">
                <anchor moveWithCells="1" sizeWithCells="1">
                  <from>
                    <xdr:col>13</xdr:col>
                    <xdr:colOff>861060</xdr:colOff>
                    <xdr:row>21</xdr:row>
                    <xdr:rowOff>0</xdr:rowOff>
                  </from>
                  <to>
                    <xdr:col>14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Macros.sell_2P45">
                <anchor moveWithCells="1" sizeWithCells="1">
                  <from>
                    <xdr:col>15</xdr:col>
                    <xdr:colOff>259080</xdr:colOff>
                    <xdr:row>12</xdr:row>
                    <xdr:rowOff>0</xdr:rowOff>
                  </from>
                  <to>
                    <xdr:col>15</xdr:col>
                    <xdr:colOff>502920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Macros.sell_2C46">
                <anchor moveWithCells="1" sizeWithCells="1">
                  <from>
                    <xdr:col>15</xdr:col>
                    <xdr:colOff>259080</xdr:colOff>
                    <xdr:row>3</xdr:row>
                    <xdr:rowOff>0</xdr:rowOff>
                  </from>
                  <to>
                    <xdr:col>15</xdr:col>
                    <xdr:colOff>502920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Macros.sell_2P46">
                <anchor moveWithCells="1" sizeWithCells="1">
                  <from>
                    <xdr:col>15</xdr:col>
                    <xdr:colOff>259080</xdr:colOff>
                    <xdr:row>13</xdr:row>
                    <xdr:rowOff>0</xdr:rowOff>
                  </from>
                  <to>
                    <xdr:col>15</xdr:col>
                    <xdr:colOff>502920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Macros.sell_2C47">
                <anchor moveWithCells="1" sizeWithCells="1">
                  <from>
                    <xdr:col>15</xdr:col>
                    <xdr:colOff>259080</xdr:colOff>
                    <xdr:row>4</xdr:row>
                    <xdr:rowOff>0</xdr:rowOff>
                  </from>
                  <to>
                    <xdr:col>15</xdr:col>
                    <xdr:colOff>502920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Macros.sell_2P47">
                <anchor moveWithCells="1" sizeWithCells="1">
                  <from>
                    <xdr:col>15</xdr:col>
                    <xdr:colOff>259080</xdr:colOff>
                    <xdr:row>14</xdr:row>
                    <xdr:rowOff>0</xdr:rowOff>
                  </from>
                  <to>
                    <xdr:col>15</xdr:col>
                    <xdr:colOff>502920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Macros.sell_2C48">
                <anchor moveWithCells="1" sizeWithCells="1">
                  <from>
                    <xdr:col>15</xdr:col>
                    <xdr:colOff>259080</xdr:colOff>
                    <xdr:row>5</xdr:row>
                    <xdr:rowOff>0</xdr:rowOff>
                  </from>
                  <to>
                    <xdr:col>15</xdr:col>
                    <xdr:colOff>502920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Macros.sell_2P48">
                <anchor moveWithCells="1" sizeWithCells="1">
                  <from>
                    <xdr:col>15</xdr:col>
                    <xdr:colOff>259080</xdr:colOff>
                    <xdr:row>15</xdr:row>
                    <xdr:rowOff>0</xdr:rowOff>
                  </from>
                  <to>
                    <xdr:col>15</xdr:col>
                    <xdr:colOff>502920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Macros.sell_2C49">
                <anchor moveWithCells="1" sizeWithCells="1">
                  <from>
                    <xdr:col>15</xdr:col>
                    <xdr:colOff>259080</xdr:colOff>
                    <xdr:row>6</xdr:row>
                    <xdr:rowOff>0</xdr:rowOff>
                  </from>
                  <to>
                    <xdr:col>15</xdr:col>
                    <xdr:colOff>502920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Macros.sell_2P49">
                <anchor moveWithCells="1" sizeWithCells="1">
                  <from>
                    <xdr:col>15</xdr:col>
                    <xdr:colOff>259080</xdr:colOff>
                    <xdr:row>16</xdr:row>
                    <xdr:rowOff>0</xdr:rowOff>
                  </from>
                  <to>
                    <xdr:col>15</xdr:col>
                    <xdr:colOff>502920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Macros.sell_2C50">
                <anchor moveWithCells="1" sizeWithCells="1">
                  <from>
                    <xdr:col>15</xdr:col>
                    <xdr:colOff>259080</xdr:colOff>
                    <xdr:row>7</xdr:row>
                    <xdr:rowOff>0</xdr:rowOff>
                  </from>
                  <to>
                    <xdr:col>15</xdr:col>
                    <xdr:colOff>502920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Macros.sell_2P50">
                <anchor moveWithCells="1" sizeWithCells="1">
                  <from>
                    <xdr:col>15</xdr:col>
                    <xdr:colOff>259080</xdr:colOff>
                    <xdr:row>17</xdr:row>
                    <xdr:rowOff>0</xdr:rowOff>
                  </from>
                  <to>
                    <xdr:col>15</xdr:col>
                    <xdr:colOff>502920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Macros.sell_2C51">
                <anchor moveWithCells="1" sizeWithCells="1">
                  <from>
                    <xdr:col>15</xdr:col>
                    <xdr:colOff>259080</xdr:colOff>
                    <xdr:row>8</xdr:row>
                    <xdr:rowOff>0</xdr:rowOff>
                  </from>
                  <to>
                    <xdr:col>15</xdr:col>
                    <xdr:colOff>502920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Macros.sell_2P51">
                <anchor moveWithCells="1" sizeWithCells="1">
                  <from>
                    <xdr:col>15</xdr:col>
                    <xdr:colOff>259080</xdr:colOff>
                    <xdr:row>18</xdr:row>
                    <xdr:rowOff>0</xdr:rowOff>
                  </from>
                  <to>
                    <xdr:col>15</xdr:col>
                    <xdr:colOff>502920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Macros.sell_2C52">
                <anchor moveWithCells="1" sizeWithCells="1">
                  <from>
                    <xdr:col>15</xdr:col>
                    <xdr:colOff>259080</xdr:colOff>
                    <xdr:row>9</xdr:row>
                    <xdr:rowOff>0</xdr:rowOff>
                  </from>
                  <to>
                    <xdr:col>15</xdr:col>
                    <xdr:colOff>502920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Macros.sell_2P52">
                <anchor moveWithCells="1" sizeWithCells="1">
                  <from>
                    <xdr:col>15</xdr:col>
                    <xdr:colOff>259080</xdr:colOff>
                    <xdr:row>19</xdr:row>
                    <xdr:rowOff>0</xdr:rowOff>
                  </from>
                  <to>
                    <xdr:col>15</xdr:col>
                    <xdr:colOff>502920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Macros.sell_2C53">
                <anchor moveWithCells="1" sizeWithCells="1">
                  <from>
                    <xdr:col>15</xdr:col>
                    <xdr:colOff>259080</xdr:colOff>
                    <xdr:row>10</xdr:row>
                    <xdr:rowOff>0</xdr:rowOff>
                  </from>
                  <to>
                    <xdr:col>15</xdr:col>
                    <xdr:colOff>502920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Macros.sell_2P53">
                <anchor moveWithCells="1" sizeWithCells="1">
                  <from>
                    <xdr:col>15</xdr:col>
                    <xdr:colOff>259080</xdr:colOff>
                    <xdr:row>20</xdr:row>
                    <xdr:rowOff>0</xdr:rowOff>
                  </from>
                  <to>
                    <xdr:col>15</xdr:col>
                    <xdr:colOff>502920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Macros.sell_2C54">
                <anchor moveWithCells="1" sizeWithCells="1">
                  <from>
                    <xdr:col>15</xdr:col>
                    <xdr:colOff>259080</xdr:colOff>
                    <xdr:row>11</xdr:row>
                    <xdr:rowOff>0</xdr:rowOff>
                  </from>
                  <to>
                    <xdr:col>15</xdr:col>
                    <xdr:colOff>502920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sell_2P54">
                <anchor moveWithCells="1" sizeWithCells="1">
                  <from>
                    <xdr:col>15</xdr:col>
                    <xdr:colOff>259080</xdr:colOff>
                    <xdr:row>21</xdr:row>
                    <xdr:rowOff>0</xdr:rowOff>
                  </from>
                  <to>
                    <xdr:col>15</xdr:col>
                    <xdr:colOff>502920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buy_RTM">
                <anchor moveWithCells="1" sizeWithCells="1">
                  <from>
                    <xdr:col>13</xdr:col>
                    <xdr:colOff>609600</xdr:colOff>
                    <xdr:row>1</xdr:row>
                    <xdr:rowOff>0</xdr:rowOff>
                  </from>
                  <to>
                    <xdr:col>13</xdr:col>
                    <xdr:colOff>861060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sell_RTM">
                <anchor moveWithCells="1" sizeWithCells="1">
                  <from>
                    <xdr:col>13</xdr:col>
                    <xdr:colOff>861060</xdr:colOff>
                    <xdr:row>1</xdr:row>
                    <xdr:rowOff>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dump_for_buy">
                <anchor moveWithCells="1" sizeWithCells="1">
                  <from>
                    <xdr:col>0</xdr:col>
                    <xdr:colOff>7620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dump_for_sell">
                <anchor moveWithCells="1" sizeWithCells="1">
                  <from>
                    <xdr:col>1</xdr:col>
                    <xdr:colOff>0</xdr:colOff>
                    <xdr:row>16</xdr:row>
                    <xdr:rowOff>182880</xdr:rowOff>
                  </from>
                  <to>
                    <xdr:col>1</xdr:col>
                    <xdr:colOff>1226820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Hedge">
                <anchor moveWithCells="1">
                  <from>
                    <xdr:col>0</xdr:col>
                    <xdr:colOff>0</xdr:colOff>
                    <xdr:row>19</xdr:row>
                    <xdr:rowOff>7620</xdr:rowOff>
                  </from>
                  <to>
                    <xdr:col>1</xdr:col>
                    <xdr:colOff>1226820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0"/>
  <sheetViews>
    <sheetView topLeftCell="A10" workbookViewId="0">
      <selection activeCell="A14" sqref="A14"/>
    </sheetView>
  </sheetViews>
  <sheetFormatPr defaultRowHeight="14.4"/>
  <sheetData>
    <row r="1" spans="1:1">
      <c r="A1" t="e">
        <f>Pricer!H3</f>
        <v>#VALUE!</v>
      </c>
    </row>
    <row r="2" spans="1:1">
      <c r="A2" t="e">
        <f>Pricer!H13</f>
        <v>#VALUE!</v>
      </c>
    </row>
    <row r="3" spans="1:1">
      <c r="A3" t="e">
        <f>Pricer!H4</f>
        <v>#VALUE!</v>
      </c>
    </row>
    <row r="4" spans="1:1">
      <c r="A4" t="e">
        <f>Pricer!H14</f>
        <v>#VALUE!</v>
      </c>
    </row>
    <row r="5" spans="1:1">
      <c r="A5" t="e">
        <f>Pricer!H5</f>
        <v>#VALUE!</v>
      </c>
    </row>
    <row r="6" spans="1:1">
      <c r="A6" t="e">
        <f>Pricer!H15</f>
        <v>#VALUE!</v>
      </c>
    </row>
    <row r="7" spans="1:1">
      <c r="A7" t="e">
        <f>Pricer!H6</f>
        <v>#VALUE!</v>
      </c>
    </row>
    <row r="8" spans="1:1">
      <c r="A8" t="e">
        <f>Pricer!H16</f>
        <v>#VALUE!</v>
      </c>
    </row>
    <row r="9" spans="1:1">
      <c r="A9" t="e">
        <f>Pricer!H7</f>
        <v>#VALUE!</v>
      </c>
    </row>
    <row r="10" spans="1:1">
      <c r="A10" t="e">
        <f>Pricer!H17</f>
        <v>#VALUE!</v>
      </c>
    </row>
    <row r="11" spans="1:1">
      <c r="A11" t="e">
        <f>Pricer!H8</f>
        <v>#VALUE!</v>
      </c>
    </row>
    <row r="12" spans="1:1">
      <c r="A12" t="e">
        <f>Pricer!H18</f>
        <v>#VALUE!</v>
      </c>
    </row>
    <row r="13" spans="1:1">
      <c r="A13" t="e">
        <f>Pricer!H9</f>
        <v>#VALUE!</v>
      </c>
    </row>
    <row r="14" spans="1:1">
      <c r="A14" t="e">
        <f>Pricer!H19</f>
        <v>#VALUE!</v>
      </c>
    </row>
    <row r="15" spans="1:1">
      <c r="A15" t="e">
        <f>Pricer!H10</f>
        <v>#VALUE!</v>
      </c>
    </row>
    <row r="16" spans="1:1">
      <c r="A16" t="e">
        <f>Pricer!H20</f>
        <v>#VALUE!</v>
      </c>
    </row>
    <row r="17" spans="1:1">
      <c r="A17" t="e">
        <f>Pricer!H11</f>
        <v>#VALUE!</v>
      </c>
    </row>
    <row r="18" spans="1:1">
      <c r="A18" t="e">
        <f>Pricer!H21</f>
        <v>#VALUE!</v>
      </c>
    </row>
    <row r="19" spans="1:1">
      <c r="A19" t="e">
        <f>Pricer!H12</f>
        <v>#VALUE!</v>
      </c>
    </row>
    <row r="20" spans="1:1">
      <c r="A20" t="e">
        <f>Pricer!H22</f>
        <v>#VALUE!</v>
      </c>
    </row>
    <row r="21" spans="1:1">
      <c r="A21">
        <f>Pricer!V3</f>
        <v>6.1102265380252416E-2</v>
      </c>
    </row>
    <row r="22" spans="1:1">
      <c r="A22">
        <f>Pricer!V13</f>
        <v>0.22170720158044777</v>
      </c>
    </row>
    <row r="23" spans="1:1">
      <c r="A23">
        <f>Pricer!V4</f>
        <v>4.9597959544528086E-2</v>
      </c>
    </row>
    <row r="24" spans="1:1">
      <c r="A24">
        <f>Pricer!V14</f>
        <v>0.18088783309669043</v>
      </c>
    </row>
    <row r="25" spans="1:1">
      <c r="A25">
        <f>Pricer!V5</f>
        <v>0.13973509811759252</v>
      </c>
    </row>
    <row r="26" spans="1:1">
      <c r="A26">
        <f>Pricer!V15</f>
        <v>0.13973509811758364</v>
      </c>
    </row>
    <row r="27" spans="1:1">
      <c r="A27">
        <f>Pricer!V6</f>
        <v>0.13959410810371214</v>
      </c>
    </row>
    <row r="28" spans="1:1">
      <c r="A28">
        <f>Pricer!V16</f>
        <v>0.1395941081037089</v>
      </c>
    </row>
    <row r="29" spans="1:1">
      <c r="A29">
        <f>Pricer!V7</f>
        <v>0.13694189679900756</v>
      </c>
    </row>
    <row r="30" spans="1:1">
      <c r="A30">
        <f>Pricer!V17</f>
        <v>0.13694189679900684</v>
      </c>
    </row>
    <row r="31" spans="1:1">
      <c r="A31">
        <f>Pricer!V8</f>
        <v>0.13653438814867064</v>
      </c>
    </row>
    <row r="32" spans="1:1">
      <c r="A32">
        <f>Pricer!V18</f>
        <v>0.13653438814866939</v>
      </c>
    </row>
    <row r="33" spans="1:1">
      <c r="A33">
        <f>Pricer!V9</f>
        <v>0.13774952532361678</v>
      </c>
    </row>
    <row r="34" spans="1:1">
      <c r="A34">
        <f>Pricer!V19</f>
        <v>0.13774952532361542</v>
      </c>
    </row>
    <row r="35" spans="1:1">
      <c r="A35">
        <f>Pricer!V10</f>
        <v>0.13651411392287607</v>
      </c>
    </row>
    <row r="36" spans="1:1">
      <c r="A36">
        <f>Pricer!V20</f>
        <v>0.13651411392287471</v>
      </c>
    </row>
    <row r="37" spans="1:1">
      <c r="A37">
        <f>Pricer!V11</f>
        <v>0.14058497180646715</v>
      </c>
    </row>
    <row r="38" spans="1:1">
      <c r="A38">
        <f>Pricer!V21</f>
        <v>0.14058497180646207</v>
      </c>
    </row>
    <row r="39" spans="1:1">
      <c r="A39">
        <f>Pricer!V12</f>
        <v>0.17555492840296461</v>
      </c>
    </row>
    <row r="40" spans="1:1">
      <c r="A40">
        <f>Pricer!V22</f>
        <v>0.15815137725034287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"/>
  <sheetViews>
    <sheetView workbookViewId="0">
      <selection activeCell="I5" sqref="I5"/>
    </sheetView>
  </sheetViews>
  <sheetFormatPr defaultRowHeight="14.4"/>
  <cols>
    <col min="1" max="1" width="62.88671875" customWidth="1"/>
  </cols>
  <sheetData>
    <row r="1" spans="1:11">
      <c r="I1" t="s">
        <v>81</v>
      </c>
      <c r="J1" t="s">
        <v>82</v>
      </c>
      <c r="K1" t="s">
        <v>83</v>
      </c>
    </row>
    <row r="2" spans="1:11">
      <c r="A2" t="s">
        <v>72</v>
      </c>
      <c r="B2" t="s">
        <v>73</v>
      </c>
      <c r="C2" t="s">
        <v>74</v>
      </c>
      <c r="D2" s="43" t="str">
        <f>"%1"</f>
        <v>%1</v>
      </c>
      <c r="E2" s="43" t="str">
        <f>"%2"</f>
        <v>%2</v>
      </c>
      <c r="F2" t="s">
        <v>75</v>
      </c>
      <c r="G2" t="s">
        <v>76</v>
      </c>
      <c r="H2" t="s">
        <v>77</v>
      </c>
      <c r="I2">
        <v>0.2</v>
      </c>
      <c r="J2">
        <v>0.2</v>
      </c>
      <c r="K2">
        <v>0.2</v>
      </c>
    </row>
    <row r="3" spans="1:11">
      <c r="A3" t="str">
        <f>RTD("rit2.rtd",,"LATESTNEWS",1)</f>
        <v>2,75,Week 6,Announcement 5,The latest annualized volatility of RTM is 16%</v>
      </c>
      <c r="B3">
        <f>IFERROR(FIND("between",A3),0)</f>
        <v>0</v>
      </c>
      <c r="C3">
        <f>IFERROR(FIND("is",A3),0)</f>
        <v>68</v>
      </c>
      <c r="D3">
        <f>IFERROR(FIND("%",A3),0)</f>
        <v>73</v>
      </c>
      <c r="E3">
        <f>IFERROR(FIND("%",A3,D3+1),0)</f>
        <v>0</v>
      </c>
      <c r="F3">
        <f>IFERROR(FIND("~",A3),0)</f>
        <v>0</v>
      </c>
      <c r="G3">
        <f>IFERROR(FIND("expected",A3),0)</f>
        <v>0</v>
      </c>
      <c r="H3">
        <f>IFERROR(FIND("latest",A3),0)</f>
        <v>32</v>
      </c>
      <c r="I3">
        <f>IF($G3&lt;&gt;0,VALUE(MID(A3,B3+7,D3-B3-6)),0)</f>
        <v>0</v>
      </c>
      <c r="J3">
        <f>IF($G3&lt;&gt;0,VALUE(MID(A3,F3+1,E3-F3)),0)</f>
        <v>0</v>
      </c>
      <c r="K3">
        <f>IF(H3&lt;&gt;0,VALUE(MID(A3,C3+2,D3-C3-1)),0)</f>
        <v>0.16</v>
      </c>
    </row>
    <row r="4" spans="1:11">
      <c r="A4" t="str">
        <f>RTD("rit2.rtd",,"LATESTNEWS",2)</f>
        <v>2,37,,News 5,The annualized volatility of RTM is expected to be between 14% ~ 16% at the start of Week 6</v>
      </c>
      <c r="B4">
        <f>IFERROR(FIND("between",A4),0)</f>
        <v>65</v>
      </c>
      <c r="C4">
        <f>IFERROR(FIND("is",A4),0)</f>
        <v>47</v>
      </c>
      <c r="D4">
        <f>IFERROR(FIND("%",A4),0)</f>
        <v>75</v>
      </c>
      <c r="E4">
        <f>IFERROR(FIND("%",A4,D4+1),0)</f>
        <v>81</v>
      </c>
      <c r="F4">
        <f>IFERROR(FIND("~",A4),0)</f>
        <v>77</v>
      </c>
      <c r="G4">
        <f>IFERROR(FIND("expected",A4),0)</f>
        <v>50</v>
      </c>
      <c r="H4">
        <f>IFERROR(FIND("latest",A4),0)</f>
        <v>0</v>
      </c>
      <c r="I4">
        <f>IF($G4&lt;&gt;0,VALUE(MID(A4,B4+7,D4-B4-6)),0)</f>
        <v>0.14000000000000001</v>
      </c>
      <c r="J4">
        <f>IF($G4&lt;&gt;0,VALUE(MID(A4,F4+1,E4-F4)),0)</f>
        <v>0.16</v>
      </c>
      <c r="K4">
        <f>IF(H4&lt;&gt;0,VALUE(MID(A4,C4+2,D4-C4-1)),0)</f>
        <v>0</v>
      </c>
    </row>
    <row r="5" spans="1:11">
      <c r="I5">
        <f>LOOKUP(1,1/(I2:I4&gt;0),I2:I4)</f>
        <v>0.14000000000000001</v>
      </c>
      <c r="J5">
        <f t="shared" ref="J5:K5" si="0">LOOKUP(1,1/(J2:J4&gt;0),J2:J4)</f>
        <v>0.16</v>
      </c>
      <c r="K5">
        <f t="shared" si="0"/>
        <v>0.16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Pricer</vt:lpstr>
      <vt:lpstr>Imp Vols</vt:lpstr>
      <vt:lpstr>News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Shimmy Skywalker</dc:creator>
  <cp:lastModifiedBy>JPickens</cp:lastModifiedBy>
  <dcterms:created xsi:type="dcterms:W3CDTF">2018-08-08T12:28:50Z</dcterms:created>
  <dcterms:modified xsi:type="dcterms:W3CDTF">2021-01-20T19:35:14Z</dcterms:modified>
</cp:coreProperties>
</file>